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s and Profit" sheetId="1" r:id="rId5"/>
    <sheet state="visible" name="Refined Targeting" sheetId="2" r:id="rId6"/>
    <sheet state="visible" name="StudentCountsMO" sheetId="3" r:id="rId7"/>
    <sheet state="visible" name="Costs Integration" sheetId="4" r:id="rId8"/>
    <sheet state="visible" name="Costs Staff" sheetId="5" r:id="rId9"/>
    <sheet state="visible" name="Cost Software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tc={0e8ce16b-7945-49ba-8386-5d432ec63f7c}</author>
    <author>tc={272c0d84-a877-4f69-8f6b-f5276ea50faa}</author>
    <author>tc={aef72b12-e598-4ae8-b4a9-0488ea4b71d2}</author>
    <author>tc={c42fbc13-5e94-4601-bc0d-537cbaa0eef1}</author>
  </authors>
  <commentList>
    <comment authorId="0" xr:uid="{0e8ce16b-7945-49ba-8386-5d432ec63f7c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Covers ed.link cost
</t>
      </text>
    </comment>
    <comment authorId="1" xr:uid="{272c0d84-a877-4f69-8f6b-f5276ea50faa}" ref="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include all schools and colleges but used the larger ones
Conservative Estimate
See StudentCountsMO Tab
</t>
      </text>
    </comment>
    <comment authorId="2" xr:uid="{aef72b12-e598-4ae8-b4a9-0488ea4b71d2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include all colleges, used top 20 or something like that
</t>
      </text>
    </comment>
    <comment authorId="3" xr:uid="{c42fbc13-5e94-4601-bc0d-537cbaa0eef1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include all colleges, used top 20 or something like that
Conservative estimate
See StudentCountsMO Tab
https://dese.mo.gov/
https://datacentral.ksde.org/#:~:text=Kansas%20K%2D12%20Reports,in%20the%20State%20of%20Kansas.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tc={675b3947-fea9-4103-a3b1-7d8d31a44df5}</author>
    <author>tc={7737ffc7-85d0-4da9-a1e1-8b6dddacdbf0}</author>
  </authors>
  <commentList>
    <comment authorId="0" xr:uid="{675b3947-fea9-4103-a3b1-7d8d31a44df5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https://nces.ed.gov/programs/coe/indicator/cgc/private-school-enrollment#:~:text=In%20the%20fall%20of%202021,students)%20were%20enrolled%20in%20private
</t>
      </text>
    </comment>
    <comment authorId="1" xr:uid="{7737ffc7-85d0-4da9-a1e1-8b6dddacdbf0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https://apps.dese.mo.gov/MCDS/Visualizations.aspx?id=22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tc={63da70b3-93ef-4bd0-a612-8f7572ec9010}</author>
    <author>tc={8462cd76-28d8-45ca-a87d-54e04a2690c4}</author>
    <author>tc={cf0f149d-6c5d-4f92-95d4-1369c62dea71}</author>
    <author>tc={d01ef2ed-15c8-48d9-9f81-1c9a66e3715c}</author>
  </authors>
  <commentList>
    <comment authorId="0" xr:uid="{63da70b3-93ef-4bd0-a612-8f7572ec9010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more details on cost scaling
</t>
      </text>
    </comment>
    <comment authorId="1" xr:uid="{8462cd76-28d8-45ca-a87d-54e04a2690c4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Potentially Negotiable, reduces with scale. Personally I think this feels high. 
Clever's Version has limited integration options but perhaps its to test. They are charging less. They are integrating with ed.link to provide this I believe
Reply:
	0-10 10c
10-100 5c
100-1mil 2.5c
1mil+ 1c: 20,500/m?
Reply:
	maybe negotiable
</t>
      </text>
    </comment>
    <comment authorId="2" xr:uid="{cf0f149d-6c5d-4f92-95d4-1369c62dea71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2k/school - 11k 50 schools idm 1.5$/year per user?
</t>
      </text>
    </comment>
    <comment authorId="3" xr:uid="{d01ef2ed-15c8-48d9-9f81-1c9a66e3715c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Potentially negotiable
</t>
      </text>
    </comment>
  </commentList>
</comments>
</file>

<file path=xl/sharedStrings.xml><?xml version="1.0" encoding="utf-8"?>
<sst xmlns="http://schemas.openxmlformats.org/spreadsheetml/2006/main" count="396" uniqueCount="308">
  <si>
    <t>Distributions of Students From k-12 ( Approximate )</t>
  </si>
  <si>
    <t>Distribution Of Students From K-12 + Higher Ed Total ( Approximate )</t>
  </si>
  <si>
    <t>US Student Counts</t>
  </si>
  <si>
    <t>K-5 (Elementary School)</t>
  </si>
  <si>
    <t>Higher Education</t>
  </si>
  <si>
    <t>Total</t>
  </si>
  <si>
    <t>K-5</t>
  </si>
  <si>
    <t>Higher ED</t>
  </si>
  <si>
    <t>K-12 Pub</t>
  </si>
  <si>
    <t>K-12 Private</t>
  </si>
  <si>
    <t>US Student Group</t>
  </si>
  <si>
    <t xml:space="preserve">Initial Focus ( 6-12 + Higher Ed, 68% ) </t>
  </si>
  <si>
    <t>Secondary Focus ( K-5, 32% )</t>
  </si>
  <si>
    <t>Approximate Total Users</t>
  </si>
  <si>
    <t xml:space="preserve">Initial Focus V2 ( HS/College/6-8 ) 55% ) </t>
  </si>
  <si>
    <t>Secondary Focus ( K-5, 45% )</t>
  </si>
  <si>
    <t>Future Audience Potential</t>
  </si>
  <si>
    <t>Approximate Count</t>
  </si>
  <si>
    <t>LMS Users US</t>
  </si>
  <si>
    <t>K-12 US + Higher Ed US</t>
  </si>
  <si>
    <t>E-Learning Users Globally</t>
  </si>
  <si>
    <t>Global Student Group</t>
  </si>
  <si>
    <t>LMS Users Globally</t>
  </si>
  <si>
    <t>K-12 + Higher Ed Globally</t>
  </si>
  <si>
    <t>Missouri Student Group</t>
  </si>
  <si>
    <t xml:space="preserve">Initial Focus ( 6-12+Higher Ed, 60% + Higher Ed ) </t>
  </si>
  <si>
    <t>HS/Higher Ed (35% K-12 + Higher Ed)</t>
  </si>
  <si>
    <t>Secondary Focus ( k-5, 40% )</t>
  </si>
  <si>
    <t>LMS Users</t>
  </si>
  <si>
    <t>K-12 + Higher ED</t>
  </si>
  <si>
    <t>KC Student Group</t>
  </si>
  <si>
    <t>KCPS</t>
  </si>
  <si>
    <t>Pricing</t>
  </si>
  <si>
    <t>"Freemium" ( May be charged to school )</t>
  </si>
  <si>
    <t>"Membership Fee" Parents</t>
  </si>
  <si>
    <t>Add Ons</t>
  </si>
  <si>
    <t>Profit Estimates Target</t>
  </si>
  <si>
    <t>$0.25/m or 3$/yr</t>
  </si>
  <si>
    <t>10$/m</t>
  </si>
  <si>
    <t>?</t>
  </si>
  <si>
    <t>Profit Estimates Lower Cost Option, Maybe more users</t>
  </si>
  <si>
    <t>$0.1/m or 1.2$/yr</t>
  </si>
  <si>
    <t>5.99$/m</t>
  </si>
  <si>
    <t>Yearly Profit Estimates US HS + Higher Ed</t>
  </si>
  <si>
    <t>100% 1$/m 12$/yr</t>
  </si>
  <si>
    <t>10% Earnings Rate @ 10$/m</t>
  </si>
  <si>
    <t>30% Earnings Rate @ 10$/m</t>
  </si>
  <si>
    <t>10% Earnings Rate 25$/m</t>
  </si>
  <si>
    <t>30% Earnings Rate @ 25$/m</t>
  </si>
  <si>
    <t>1% of Market</t>
  </si>
  <si>
    <t>25% of Market</t>
  </si>
  <si>
    <t>51% of Market</t>
  </si>
  <si>
    <t>100% of Market</t>
  </si>
  <si>
    <t>Yearly Profit Estimates Global HS + Higher Ed</t>
  </si>
  <si>
    <t>10% Earnings Rate 10$/m</t>
  </si>
  <si>
    <t>Yearly Profit Estimates US K-8</t>
  </si>
  <si>
    <t>100% .1$/m 1.2$/yr</t>
  </si>
  <si>
    <t>100% 1$/m</t>
  </si>
  <si>
    <t>Yearly Profit Estimates Global K-8</t>
  </si>
  <si>
    <t>Profit Summaries</t>
  </si>
  <si>
    <t>100% HS/College Market, Freemium Users Only @0.1$/m</t>
  </si>
  <si>
    <t>100% HS/College Market, Freemium Users Only @1$/m</t>
  </si>
  <si>
    <t>100% K-8 Market, 30% Users Earnings Rate @ 10$/m</t>
  </si>
  <si>
    <t>25% of US Market HS, 30% Users Earnings Rate @ 10$/m</t>
  </si>
  <si>
    <t>100% of US Market HS, 30% Users Earnings Rate @ 10$/m</t>
  </si>
  <si>
    <t>25% of US Market HS, 30% Users Earnings Rate @ 10$/m 
+ 25% K-8 US Market, 30% Users Earnings Rate @ 10$/m</t>
  </si>
  <si>
    <t>100% of US Market HS, 30% Users Earnings Rate @ 10$/m 
+ 100% K-8 US Market, 30% Users Earnings Rate @ 10$/m</t>
  </si>
  <si>
    <t>Note that K-8 market has some competition from similar but not the same apps</t>
  </si>
  <si>
    <t>100% HS Market, Freemium Users Only</t>
  </si>
  <si>
    <t>25% of Global Market HS, 30% Users Earnings Rate @ 10$/m</t>
  </si>
  <si>
    <t>100% of Global Market HS, 30% Users Earnings Rate @ 10$/m</t>
  </si>
  <si>
    <t>25% of Global Market HS, 30% Users Earnings Rate @ 10$/m 
+ 25% K-8 Global Market, 30% Users Earnings Rate @ 10$/m</t>
  </si>
  <si>
    <t>100% of Global Market HS, 30% Users Earnings Rate @ 10$/m 
+ 100% K-8 Global Market, 30% Users Earnings Rate @ 10$/m</t>
  </si>
  <si>
    <t>Profit Summaries V2 ( us / global needs updated )</t>
  </si>
  <si>
    <t>US</t>
  </si>
  <si>
    <t>1% Market</t>
  </si>
  <si>
    <t>100% Market</t>
  </si>
  <si>
    <t>6-12 + Higher Ed Market, Freemium Users Only @0.1$/m</t>
  </si>
  <si>
    <t>6-12 + Higher Ed Market, Freemium Users Only @1$/m</t>
  </si>
  <si>
    <t>6-12 + Higher Ed Market, 30% Users Earnings Rate @ 10$/m</t>
  </si>
  <si>
    <t>6-12 + Higher Ed Market, 10% Users Earnings Rate @ 5.99$/m</t>
  </si>
  <si>
    <t>K-5 Market, Freemium Users Only @0.1$/m</t>
  </si>
  <si>
    <t>K-5 Market, Freemium Users Only @1$/m</t>
  </si>
  <si>
    <t>K-5 Market, 30% Users Earnings Rate @ 10$/m</t>
  </si>
  <si>
    <t>Data Profit ( Optional, Complex, Potentially Risky )</t>
  </si>
  <si>
    <t>K-5 &amp; 6-12 + Higher Ed Market: Freemium @ 3$/yr, 10% Earning Rates $5.99</t>
  </si>
  <si>
    <t>Global</t>
  </si>
  <si>
    <t>US 6-12 + Higher ed, b9  k-5 c9, global 6-12 b14, k-5 c14</t>
  </si>
  <si>
    <t>MO</t>
  </si>
  <si>
    <t>6-12 + Higher Ed Market, Freemium Users Only @.25$/m</t>
  </si>
  <si>
    <t>6-12 + Higher Ed 10% Users Earnings Rate @ 10$/m</t>
  </si>
  <si>
    <t>6-12 + Higher Ed 10% Users Earnings Rate @ 5.99$/m</t>
  </si>
  <si>
    <t>K-5 Market, Freemium Users Only @.25$/m</t>
  </si>
  <si>
    <t>K-5 Market, 10% Users Earnings Rate @ 5.99$/m</t>
  </si>
  <si>
    <t>6-12 + Higher Ed (Freemium @ .1$/m + 10% Earning Rates @ 5.99$/m)</t>
  </si>
  <si>
    <t>K-5 + 6-12 + Higher Ed (Freemium @ .1$/m + 10% Earning Rates @ 5.99$/m)</t>
  </si>
  <si>
    <t>KC</t>
  </si>
  <si>
    <t>6-12 + Higher Ed (Freemium @ .1$/m + 10% Earning Rates @ 5.99/m)</t>
  </si>
  <si>
    <t>K-5 + 6-12 + Higher Ed (Freemium @ .25$/yr + 10% Earning Rates @ 5.99$/m)</t>
  </si>
  <si>
    <t>Really all schools but these are targeting types</t>
  </si>
  <si>
    <t>Inner City Schools, Schools with lower Engagement</t>
  </si>
  <si>
    <t>High End Schools, Competitive Players</t>
  </si>
  <si>
    <t>Rural Schools that may be easy targets</t>
  </si>
  <si>
    <r>
      <rPr/>
      <t xml:space="preserve">Colleges ( Missouri ) ( </t>
    </r>
    <r>
      <rPr>
        <color rgb="FF1155CC"/>
        <u/>
      </rPr>
      <t>College Simply Source</t>
    </r>
    <r>
      <rPr/>
      <t xml:space="preserve"> )</t>
    </r>
  </si>
  <si>
    <t>K-12 Missouri</t>
  </si>
  <si>
    <r>
      <rPr>
        <b/>
        <color rgb="FF1155CC"/>
        <u/>
      </rPr>
      <t>University of Missouri Columbia</t>
    </r>
    <r>
      <rPr>
        <b/>
      </rPr>
      <t xml:space="preserve">
 Columbia, MO
  add to list |</t>
    </r>
    <r>
      <rPr>
        <b/>
        <color rgb="FF1155CC"/>
        <u/>
      </rPr>
      <t xml:space="preserve"> Calculate my chances</t>
    </r>
  </si>
  <si>
    <t>MO College Total
(Less than max)</t>
  </si>
  <si>
    <t>Dese: Public Enrollment</t>
  </si>
  <si>
    <t>16:1 Student To Teacher</t>
  </si>
  <si>
    <r>
      <rPr>
        <b/>
        <color rgb="FF1155CC"/>
        <u/>
      </rPr>
      <t>Missouri State University Springfield</t>
    </r>
    <r>
      <rPr>
        <b/>
      </rPr>
      <t xml:space="preserve">
 Springfield, MO
  add to list |</t>
    </r>
    <r>
      <rPr>
        <b/>
        <color rgb="FF1155CC"/>
        <u/>
      </rPr>
      <t xml:space="preserve"> Calculate my chances</t>
    </r>
  </si>
  <si>
    <t>KC College Counts</t>
  </si>
  <si>
    <t>Assuming 9% Private Enrollment</t>
  </si>
  <si>
    <r>
      <rPr>
        <b/>
        <color rgb="FF1155CC"/>
        <u/>
      </rPr>
      <t>Saint Louis University Main Campus</t>
    </r>
    <r>
      <rPr>
        <b/>
      </rPr>
      <t xml:space="preserve">
 Saint Louis, MO
  add to list |</t>
    </r>
    <r>
      <rPr>
        <b/>
        <color rgb="FF1155CC"/>
        <u/>
      </rPr>
      <t xml:space="preserve"> Calculate my chances</t>
    </r>
  </si>
  <si>
    <t>K-12 Missouri Total</t>
  </si>
  <si>
    <r>
      <rPr>
        <b/>
        <color rgb="FF1155CC"/>
        <u/>
      </rPr>
      <t>Washington University in St Louis</t>
    </r>
    <r>
      <rPr>
        <b/>
      </rPr>
      <t xml:space="preserve">
 Saint Louis, MO
  add to list |</t>
    </r>
    <r>
      <rPr>
        <b/>
        <color rgb="FF1155CC"/>
        <u/>
      </rPr>
      <t xml:space="preserve"> Calculate my chances</t>
    </r>
  </si>
  <si>
    <r>
      <rPr>
        <b/>
        <color rgb="FF1155CC"/>
        <u/>
      </rPr>
      <t>University of Missouri Kansas City</t>
    </r>
    <r>
      <rPr>
        <b/>
      </rPr>
      <t xml:space="preserve">
 Kansas City, MO
  add to list |</t>
    </r>
    <r>
      <rPr>
        <b/>
        <color rgb="FF1155CC"/>
        <u/>
      </rPr>
      <t xml:space="preserve"> Calculate my chances</t>
    </r>
  </si>
  <si>
    <t>Kansas City K-12 Student Count Approximate Total, Assumes +9% Private School</t>
  </si>
  <si>
    <r>
      <rPr>
        <b/>
        <color rgb="FF1155CC"/>
        <u/>
      </rPr>
      <t>University of Missouri St Louis</t>
    </r>
    <r>
      <rPr>
        <b/>
      </rPr>
      <t xml:space="preserve">
 Saint Louis, MO
  add to list |</t>
    </r>
    <r>
      <rPr>
        <b/>
        <color rgb="FF1155CC"/>
        <u/>
      </rPr>
      <t xml:space="preserve"> Calculate my chances</t>
    </r>
  </si>
  <si>
    <t>KC MO Public Schools</t>
  </si>
  <si>
    <r>
      <rPr>
        <b/>
        <color rgb="FF1155CC"/>
        <u/>
      </rPr>
      <t>Saint Louis Community College</t>
    </r>
    <r>
      <rPr>
        <b/>
      </rPr>
      <t xml:space="preserve">
 Saint Louis, MO
  add to list |</t>
    </r>
    <r>
      <rPr>
        <b/>
        <color rgb="FF1155CC"/>
        <u/>
      </rPr>
      <t xml:space="preserve"> Calculate my chances</t>
    </r>
  </si>
  <si>
    <t>Olathe (KS) Unified School District:</t>
  </si>
  <si>
    <r>
      <rPr>
        <b/>
        <color rgb="FF1155CC"/>
        <u/>
      </rPr>
      <t>Metropolitan Community College Longview</t>
    </r>
    <r>
      <rPr>
        <b/>
      </rPr>
      <t xml:space="preserve">
 Lees Summit, MO
  add to list |</t>
    </r>
    <r>
      <rPr>
        <b/>
        <color rgb="FF1155CC"/>
        <u/>
      </rPr>
      <t xml:space="preserve"> Calculate my chances</t>
    </r>
  </si>
  <si>
    <t>Shawnee Mission (KS) School District:</t>
  </si>
  <si>
    <r>
      <rPr>
        <b/>
        <color rgb="FF1155CC"/>
        <u/>
      </rPr>
      <t>University of Central Missouri</t>
    </r>
    <r>
      <rPr>
        <b/>
      </rPr>
      <t xml:space="preserve">
 Warrensburg, MO
  add to list |</t>
    </r>
    <r>
      <rPr>
        <b/>
        <color rgb="FF1155CC"/>
        <u/>
      </rPr>
      <t xml:space="preserve"> Calculate my chances</t>
    </r>
  </si>
  <si>
    <t>Blue Valley (KS) Unified School District:</t>
  </si>
  <si>
    <r>
      <rPr>
        <b/>
        <color rgb="FF1155CC"/>
        <u/>
      </rPr>
      <t>Ozarks Technical Community College</t>
    </r>
    <r>
      <rPr>
        <b/>
      </rPr>
      <t xml:space="preserve">
 Springfield, MO
  add to list |</t>
    </r>
    <r>
      <rPr>
        <b/>
        <color rgb="FF1155CC"/>
        <u/>
      </rPr>
      <t xml:space="preserve"> Calculate my chances</t>
    </r>
  </si>
  <si>
    <t>Kansas City, Kansas Public Schools (KCKPS):</t>
  </si>
  <si>
    <r>
      <rPr>
        <b/>
        <color rgb="FF1155CC"/>
        <u/>
      </rPr>
      <t>Maryville University of Saint Louis</t>
    </r>
    <r>
      <rPr>
        <b/>
      </rPr>
      <t xml:space="preserve">
 Saint Louis, MO
  add to list |</t>
    </r>
    <r>
      <rPr>
        <b/>
        <color rgb="FF1155CC"/>
        <u/>
      </rPr>
      <t xml:space="preserve"> Calculate my chances</t>
    </r>
  </si>
  <si>
    <t>North Kansas City (MO) School District:</t>
  </si>
  <si>
    <r>
      <rPr>
        <b/>
        <color rgb="FF1155CC"/>
        <u/>
      </rPr>
      <t>Southeast Missouri State University</t>
    </r>
    <r>
      <rPr>
        <b/>
      </rPr>
      <t xml:space="preserve">
 Cape Girardeau, MO
  add to list |</t>
    </r>
    <r>
      <rPr>
        <b/>
        <color rgb="FF1155CC"/>
        <u/>
      </rPr>
      <t xml:space="preserve"> Calculate my chances</t>
    </r>
  </si>
  <si>
    <t>Lee's Summit (MO) R-7 School District:</t>
  </si>
  <si>
    <r>
      <rPr>
        <b/>
        <color rgb="FF1155CC"/>
        <u/>
      </rPr>
      <t>Northwest Missouri State University</t>
    </r>
    <r>
      <rPr>
        <b/>
      </rPr>
      <t xml:space="preserve">
 Maryville, MO
  add to list |</t>
    </r>
    <r>
      <rPr>
        <b/>
        <color rgb="FF1155CC"/>
        <u/>
      </rPr>
      <t xml:space="preserve"> Calculate my chances</t>
    </r>
  </si>
  <si>
    <t>Independence School District</t>
  </si>
  <si>
    <r>
      <rPr>
        <b/>
        <color rgb="FF1155CC"/>
        <u/>
      </rPr>
      <t>Webster University</t>
    </r>
    <r>
      <rPr>
        <b/>
      </rPr>
      <t xml:space="preserve">
 Saint Louis, MO
  add to list |</t>
    </r>
    <r>
      <rPr>
        <b/>
        <color rgb="FF1155CC"/>
        <u/>
      </rPr>
      <t xml:space="preserve"> Calculate my chances</t>
    </r>
  </si>
  <si>
    <t>Park Hill School District</t>
  </si>
  <si>
    <r>
      <rPr>
        <b/>
        <color rgb="FF1155CC"/>
        <u/>
      </rPr>
      <t>Lindenwood University</t>
    </r>
    <r>
      <rPr>
        <b/>
      </rPr>
      <t xml:space="preserve">
 Saint Charles, MO
  add to list |</t>
    </r>
    <r>
      <rPr>
        <b/>
        <color rgb="FF1155CC"/>
        <u/>
      </rPr>
      <t xml:space="preserve"> Calculate my chances</t>
    </r>
  </si>
  <si>
    <t>Liberty Public Schools</t>
  </si>
  <si>
    <r>
      <rPr>
        <b/>
        <color rgb="FF1155CC"/>
        <u/>
      </rPr>
      <t>Missouri University of Science and Technology</t>
    </r>
    <r>
      <rPr>
        <b/>
      </rPr>
      <t xml:space="preserve">
 Rolla, MO
  add to list |</t>
    </r>
    <r>
      <rPr>
        <b/>
        <color rgb="FF1155CC"/>
        <u/>
      </rPr>
      <t xml:space="preserve"> Calculate my chances</t>
    </r>
  </si>
  <si>
    <t>Grandview C-4 School District</t>
  </si>
  <si>
    <r>
      <rPr>
        <b/>
        <color rgb="FF1155CC"/>
        <u/>
      </rPr>
      <t>Park University</t>
    </r>
    <r>
      <rPr>
        <b/>
      </rPr>
      <t xml:space="preserve">
 Parkville, MO
  add to list |</t>
    </r>
    <r>
      <rPr>
        <b/>
        <color rgb="FF1155CC"/>
        <u/>
      </rPr>
      <t xml:space="preserve"> Calculate my chances</t>
    </r>
  </si>
  <si>
    <t xml:space="preserve">Belton School District </t>
  </si>
  <si>
    <r>
      <rPr>
        <b/>
        <color rgb="FF1155CC"/>
        <u/>
      </rPr>
      <t>Columbia College</t>
    </r>
    <r>
      <rPr>
        <b/>
      </rPr>
      <t xml:space="preserve">
 Columbia, MO
  add to list |</t>
    </r>
    <r>
      <rPr>
        <b/>
        <color rgb="FF1155CC"/>
        <u/>
      </rPr>
      <t xml:space="preserve"> Calculate my chances</t>
    </r>
  </si>
  <si>
    <t>Raytown C-2 School District</t>
  </si>
  <si>
    <r>
      <rPr>
        <b/>
        <color rgb="FF1155CC"/>
        <u/>
      </rPr>
      <t>St Charles Community College</t>
    </r>
    <r>
      <rPr>
        <b/>
      </rPr>
      <t xml:space="preserve">
 Cottleville, MO
  add to list |</t>
    </r>
    <r>
      <rPr>
        <b/>
        <color rgb="FF1155CC"/>
        <u/>
      </rPr>
      <t xml:space="preserve"> Calculate my chances</t>
    </r>
  </si>
  <si>
    <t>Hickman Mills C-1 School District</t>
  </si>
  <si>
    <r>
      <rPr>
        <b/>
        <color rgb="FF1155CC"/>
        <u/>
      </rPr>
      <t>Missouri Baptist University</t>
    </r>
    <r>
      <rPr>
        <b/>
      </rPr>
      <t xml:space="preserve">
 Saint Louis, MO
  add to list |</t>
    </r>
    <r>
      <rPr>
        <b/>
        <color rgb="FF1155CC"/>
        <u/>
      </rPr>
      <t xml:space="preserve"> Calculate my chances</t>
    </r>
  </si>
  <si>
    <t>Gardner Edgerton USD 231</t>
  </si>
  <si>
    <r>
      <rPr>
        <b/>
        <color rgb="FF1155CC"/>
        <u/>
      </rPr>
      <t>Metropolitan Community College Penn Valley</t>
    </r>
    <r>
      <rPr>
        <b/>
      </rPr>
      <t xml:space="preserve">
 Kansas City, Missouri
  add to list |</t>
    </r>
    <r>
      <rPr>
        <b/>
        <color rgb="FF1155CC"/>
        <u/>
      </rPr>
      <t xml:space="preserve"> Calculate my chances</t>
    </r>
  </si>
  <si>
    <t>De Soto USD 232</t>
  </si>
  <si>
    <r>
      <rPr>
        <b/>
        <color rgb="FF1155CC"/>
        <u/>
      </rPr>
      <t>Metropolitan Community College Maple Woods</t>
    </r>
    <r>
      <rPr>
        <b/>
      </rPr>
      <t xml:space="preserve">
 Kansas City, Missouri
  add to list |</t>
    </r>
    <r>
      <rPr>
        <b/>
        <color rgb="FF1155CC"/>
        <u/>
      </rPr>
      <t xml:space="preserve"> Calculate my chances</t>
    </r>
  </si>
  <si>
    <t>Bonner Springs-Edwardsville USD 204</t>
  </si>
  <si>
    <r>
      <rPr>
        <b/>
        <color rgb="FF1155CC"/>
        <u/>
      </rPr>
      <t>Moberly Area Community College</t>
    </r>
    <r>
      <rPr>
        <b/>
      </rPr>
      <t xml:space="preserve">
 Moberly, MO
  add to list |</t>
    </r>
    <r>
      <rPr>
        <b/>
        <color rgb="FF1155CC"/>
        <u/>
      </rPr>
      <t xml:space="preserve"> Calculate my chances</t>
    </r>
  </si>
  <si>
    <t>Spring Hill USD 230</t>
  </si>
  <si>
    <r>
      <rPr>
        <b/>
        <color rgb="FF1155CC"/>
        <u/>
      </rPr>
      <t>Missouri Southern State University</t>
    </r>
    <r>
      <rPr>
        <b/>
      </rPr>
      <t xml:space="preserve">
 Joplin, MO
  add to list |</t>
    </r>
    <r>
      <rPr>
        <b/>
        <color rgb="FF1155CC"/>
        <u/>
      </rPr>
      <t xml:space="preserve"> Calculate my chances</t>
    </r>
  </si>
  <si>
    <t>Piper USD 203</t>
  </si>
  <si>
    <r>
      <rPr>
        <b/>
        <color rgb="FF1155CC"/>
        <u/>
      </rPr>
      <t>Crowder College</t>
    </r>
    <r>
      <rPr>
        <b/>
      </rPr>
      <t xml:space="preserve">
 Neosho, MO
  add to list |</t>
    </r>
    <r>
      <rPr>
        <b/>
        <color rgb="FF1155CC"/>
        <u/>
      </rPr>
      <t xml:space="preserve"> Calculate my chances</t>
    </r>
  </si>
  <si>
    <r>
      <rPr>
        <b/>
        <color rgb="FF1155CC"/>
        <u/>
      </rPr>
      <t>Midwestern Baptist Theological Seminary</t>
    </r>
    <r>
      <rPr>
        <b/>
      </rPr>
      <t xml:space="preserve">
 Kansas City, MO
  add to list |</t>
    </r>
    <r>
      <rPr>
        <b/>
        <color rgb="FF1155CC"/>
        <u/>
      </rPr>
      <t xml:space="preserve"> Calculate my chances</t>
    </r>
  </si>
  <si>
    <r>
      <rPr>
        <b/>
        <color rgb="FF1155CC"/>
        <u/>
      </rPr>
      <t>Missouri Western State University</t>
    </r>
    <r>
      <rPr>
        <b/>
      </rPr>
      <t xml:space="preserve">
 Saint Joseph, MO
  add to list |</t>
    </r>
    <r>
      <rPr>
        <b/>
        <color rgb="FF1155CC"/>
        <u/>
      </rPr>
      <t xml:space="preserve"> Calculate my chances</t>
    </r>
  </si>
  <si>
    <r>
      <rPr>
        <b/>
        <color rgb="FF1155CC"/>
        <u/>
      </rPr>
      <t>Jefferson College</t>
    </r>
    <r>
      <rPr>
        <b/>
      </rPr>
      <t xml:space="preserve">
 Hillsboro, MO
  add to list |</t>
    </r>
    <r>
      <rPr>
        <b/>
        <color rgb="FF1155CC"/>
        <u/>
      </rPr>
      <t xml:space="preserve"> Calculate my chances</t>
    </r>
  </si>
  <si>
    <r>
      <rPr>
        <b/>
        <color rgb="FF1155CC"/>
        <u/>
      </rPr>
      <t>State Fair Community College</t>
    </r>
    <r>
      <rPr>
        <b/>
      </rPr>
      <t xml:space="preserve">
 Sedalia, MO
  add to list |</t>
    </r>
    <r>
      <rPr>
        <b/>
        <color rgb="FF1155CC"/>
        <u/>
      </rPr>
      <t xml:space="preserve"> Calculate my chances</t>
    </r>
  </si>
  <si>
    <r>
      <rPr>
        <b/>
        <color rgb="FF1155CC"/>
        <u/>
      </rPr>
      <t>Grantham University</t>
    </r>
    <r>
      <rPr>
        <b/>
      </rPr>
      <t xml:space="preserve">
 Kansas City, KS
  add to list |</t>
    </r>
    <r>
      <rPr>
        <b/>
        <color rgb="FF1155CC"/>
        <u/>
      </rPr>
      <t xml:space="preserve"> Calculate my chances</t>
    </r>
  </si>
  <si>
    <r>
      <rPr>
        <b/>
        <color rgb="FF1155CC"/>
        <u/>
      </rPr>
      <t>Truman State University</t>
    </r>
    <r>
      <rPr>
        <b/>
      </rPr>
      <t xml:space="preserve">
 Kirksville, MO
  add to list |</t>
    </r>
    <r>
      <rPr>
        <b/>
        <color rgb="FF1155CC"/>
        <u/>
      </rPr>
      <t xml:space="preserve"> Calculate my chances</t>
    </r>
  </si>
  <si>
    <r>
      <rPr>
        <b/>
        <color rgb="FF1155CC"/>
        <u/>
      </rPr>
      <t>Metropolitan Community College Blue River</t>
    </r>
    <r>
      <rPr>
        <b/>
      </rPr>
      <t xml:space="preserve">
 Independence, Missouri
  add to list |</t>
    </r>
    <r>
      <rPr>
        <b/>
        <color rgb="FF1155CC"/>
        <u/>
      </rPr>
      <t xml:space="preserve"> Calculate my chances</t>
    </r>
  </si>
  <si>
    <r>
      <rPr>
        <b/>
        <color rgb="FF1155CC"/>
        <u/>
      </rPr>
      <t>Rockhurst University</t>
    </r>
    <r>
      <rPr>
        <b/>
      </rPr>
      <t xml:space="preserve">
 Kansas City, MO
  add to list |</t>
    </r>
    <r>
      <rPr>
        <b/>
        <color rgb="FF1155CC"/>
        <u/>
      </rPr>
      <t xml:space="preserve"> Calculate my chances</t>
    </r>
  </si>
  <si>
    <r>
      <rPr>
        <b/>
        <color rgb="FF1155CC"/>
        <u/>
      </rPr>
      <t>Three Rivers Community College</t>
    </r>
    <r>
      <rPr>
        <b/>
      </rPr>
      <t xml:space="preserve">
 Poplar Bluff, MO
  add to list |</t>
    </r>
    <r>
      <rPr>
        <b/>
        <color rgb="FF1155CC"/>
        <u/>
      </rPr>
      <t xml:space="preserve"> Calculate my chances</t>
    </r>
  </si>
  <si>
    <r>
      <rPr>
        <b/>
        <color rgb="FF1155CC"/>
        <u/>
      </rPr>
      <t>East Central College</t>
    </r>
    <r>
      <rPr>
        <b/>
      </rPr>
      <t xml:space="preserve">
 Union, MO
  add to list |</t>
    </r>
    <r>
      <rPr>
        <b/>
        <color rgb="FF1155CC"/>
        <u/>
      </rPr>
      <t xml:space="preserve"> Calculate my chances</t>
    </r>
  </si>
  <si>
    <r>
      <rPr>
        <b/>
        <color rgb="FF1155CC"/>
        <u/>
      </rPr>
      <t>Mineral Area College</t>
    </r>
    <r>
      <rPr>
        <b/>
      </rPr>
      <t xml:space="preserve">
 Park Hills, MO
  add to list |</t>
    </r>
    <r>
      <rPr>
        <b/>
        <color rgb="FF1155CC"/>
        <u/>
      </rPr>
      <t xml:space="preserve"> Calculate my chances</t>
    </r>
  </si>
  <si>
    <t>Item</t>
  </si>
  <si>
    <t>Negotiable?</t>
  </si>
  <si>
    <t>Cost</t>
  </si>
  <si>
    <t>Anticipated total/yr
0-5000 Students</t>
  </si>
  <si>
    <t>Anticipated total/yr
5000-10000 Students</t>
  </si>
  <si>
    <t>Anticipated total/yr
10k-100k Students</t>
  </si>
  <si>
    <t>Anticipated total/yr
1,000,000 Students</t>
  </si>
  <si>
    <t>Anticipated total/yr
25,000,000 Students</t>
  </si>
  <si>
    <t>Accuracy Guess</t>
  </si>
  <si>
    <t>Ed.Link ( Potentially replacable with scale )</t>
  </si>
  <si>
    <t>Yes but depends</t>
  </si>
  <si>
    <t>10c/m/person to 1c/m/person</t>
  </si>
  <si>
    <t>Somewhat Accurate</t>
  </si>
  <si>
    <t>Clever / Being on Clever Dashboard, Secure Sync? (optional)</t>
  </si>
  <si>
    <t>update: 0? cost is for sync</t>
  </si>
  <si>
    <t>2k-11k</t>
  </si>
  <si>
    <t>22k</t>
  </si>
  <si>
    <t>220k</t>
  </si>
  <si>
    <t>2mil</t>
  </si>
  <si>
    <t>Not very accurate</t>
  </si>
  <si>
    <t>Hosting / Compute</t>
  </si>
  <si>
    <t>Kind of?</t>
  </si>
  <si>
    <t>Complicated</t>
  </si>
  <si>
    <t>&lt;1k/yr</t>
  </si>
  <si>
    <t>1k/yr</t>
  </si>
  <si>
    <t>3k/yr</t>
  </si>
  <si>
    <t>10k/yr - 20k/yr</t>
  </si>
  <si>
    <t>30k/yr - 300k/yr</t>
  </si>
  <si>
    <t>Depends on features and a lot of variables. Will have to see.</t>
  </si>
  <si>
    <t>$313.09/m Cloud Estimate ( Low End, Probably )</t>
  </si>
  <si>
    <t>Conservative resources</t>
  </si>
  <si>
    <t>Clever Grades and Assignments ( limited )
An alternative to Ed.Link ( they're using ed.link )</t>
  </si>
  <si>
    <t>Probably</t>
  </si>
  <si>
    <t>2k/school</t>
  </si>
  <si>
    <t>Estimated Students Per School</t>
  </si>
  <si>
    <t>0-10 10c</t>
  </si>
  <si>
    <t>Elementary School: 200-800 students</t>
  </si>
  <si>
    <t>10-100 5c</t>
  </si>
  <si>
    <t>Middle School: 500-1500 students</t>
  </si>
  <si>
    <t>100-1mil 2.5c</t>
  </si>
  <si>
    <t>High School: 800-2500+ students</t>
  </si>
  <si>
    <t>1mil+ 1c: 20,500/m?</t>
  </si>
  <si>
    <t>Assuming 1000 students/school</t>
  </si>
  <si>
    <t>50 schools has 50,000 students</t>
  </si>
  <si>
    <t>Role</t>
  </si>
  <si>
    <t>Senior US</t>
  </si>
  <si>
    <t>Mid Level US</t>
  </si>
  <si>
    <t>Entry US</t>
  </si>
  <si>
    <t>Senior Overseas</t>
  </si>
  <si>
    <t>Mid Level Overseas</t>
  </si>
  <si>
    <t>Entry Overseas</t>
  </si>
  <si>
    <t>Software Engineer</t>
  </si>
  <si>
    <t>125k-175k/yr ( Max 250k )</t>
  </si>
  <si>
    <t>70k-80k/yr</t>
  </si>
  <si>
    <t xml:space="preserve">50-60k </t>
  </si>
  <si>
    <t>50-100k/yr ( Freelance or FT )</t>
  </si>
  <si>
    <t>40k-50k/yr ( Freelance or FT )</t>
  </si>
  <si>
    <t>30-50k</t>
  </si>
  <si>
    <t>Designer/Animator</t>
  </si>
  <si>
    <t>80-100k</t>
  </si>
  <si>
    <t>60-90k</t>
  </si>
  <si>
    <t>40-60k</t>
  </si>
  <si>
    <t>35-40k</t>
  </si>
  <si>
    <t>Data Scientist</t>
  </si>
  <si>
    <t>Similar to S. Eng</t>
  </si>
  <si>
    <t>Machine Learning Specialist (Later)</t>
  </si>
  <si>
    <t>More Expensive than S. Eng</t>
  </si>
  <si>
    <t>Product Management</t>
  </si>
  <si>
    <t>90-150k+</t>
  </si>
  <si>
    <t>Quality Assurance &amp; Testers</t>
  </si>
  <si>
    <t>100k+</t>
  </si>
  <si>
    <t>70-100k</t>
  </si>
  <si>
    <t>45-70k</t>
  </si>
  <si>
    <t>Cyber Security</t>
  </si>
  <si>
    <t>130k+</t>
  </si>
  <si>
    <t>90-130k</t>
  </si>
  <si>
    <t>IT Support</t>
  </si>
  <si>
    <t>80k+</t>
  </si>
  <si>
    <t>60-80k</t>
  </si>
  <si>
    <t>Marketing: Digital, B2B,
Inbound, Conferences, Networking</t>
  </si>
  <si>
    <t>90k+</t>
  </si>
  <si>
    <t>Sales ( Varies ), Related to Marketing
Closers</t>
  </si>
  <si>
    <t>Customer Service / Technical Support</t>
  </si>
  <si>
    <t>50-60k</t>
  </si>
  <si>
    <t>45-50k</t>
  </si>
  <si>
    <t>35-45k</t>
  </si>
  <si>
    <t>Training, Onboarding, and Retention</t>
  </si>
  <si>
    <t>60-75k+</t>
  </si>
  <si>
    <t>HR/Recruitment</t>
  </si>
  <si>
    <t>70-90k+</t>
  </si>
  <si>
    <t>60-70k</t>
  </si>
  <si>
    <t>Consultants</t>
  </si>
  <si>
    <t>Varies</t>
  </si>
  <si>
    <t>Staffing Agencies</t>
  </si>
  <si>
    <t>Software Category</t>
  </si>
  <si>
    <t>Software Example(s)</t>
  </si>
  <si>
    <t>Estimated Per User/Month Cost</t>
  </si>
  <si>
    <t>Notes</t>
  </si>
  <si>
    <t>Mobile Device Management (MDM)</t>
  </si>
  <si>
    <t>Microsoft Intune, Jamf Pro</t>
  </si>
  <si>
    <t>$5 - $15</t>
  </si>
  <si>
    <t>Cost varies based on features and device count.</t>
  </si>
  <si>
    <t>Project Management Software</t>
  </si>
  <si>
    <t>Jira, Confluence / Atlassian</t>
  </si>
  <si>
    <t>$10 - $40</t>
  </si>
  <si>
    <t>Tiered pricing based on features and user count.</t>
  </si>
  <si>
    <t>Google Workspace</t>
  </si>
  <si>
    <t>Business Standard, Enterprise</t>
  </si>
  <si>
    <t>$12 - $30</t>
  </si>
  <si>
    <t>Pricing varies based on storage and features.</t>
  </si>
  <si>
    <t>1Password</t>
  </si>
  <si>
    <t>Business, Teams</t>
  </si>
  <si>
    <t>$3 - $8</t>
  </si>
  <si>
    <t>Offers secure password management for teams.</t>
  </si>
  <si>
    <t>Chat AI (Internal)</t>
  </si>
  <si>
    <t>Slack AI, Microsoft Teams Premium</t>
  </si>
  <si>
    <t>Adds AI features like summarization and task generation to chat platforms.</t>
  </si>
  <si>
    <t>CRM / Salesforce</t>
  </si>
  <si>
    <t>Salesforce Sales Cloud, HubSpot CRM</t>
  </si>
  <si>
    <t>$25 - $150+</t>
  </si>
  <si>
    <t>Salesforce has highly variable pricing based on editions and add-ons. HubSpot has a free tier, and paid tiers.</t>
  </si>
  <si>
    <t>Stock Assets (Images/Video)</t>
  </si>
  <si>
    <t>Adobe Stock, Shutterstock</t>
  </si>
  <si>
    <t>$20 - $50 (Subscription based)</t>
  </si>
  <si>
    <t>Monthly or annual subscriptions with varying download limits. Can also be priced per asset.</t>
  </si>
  <si>
    <t>AI Generation &amp; Chat Tools</t>
  </si>
  <si>
    <t>ChatGPT Plus, Midjourney (Team)</t>
  </si>
  <si>
    <t>$20 - $50</t>
  </si>
  <si>
    <t>ChatGPT Plus is a subscription. Midjourney is subscription based, and team plans cost more.</t>
  </si>
  <si>
    <t>CoPilot Coding AI</t>
  </si>
  <si>
    <t>GitHub Copilot, Amazon CodeWhisperer</t>
  </si>
  <si>
    <t>$10 - $20</t>
  </si>
  <si>
    <t>Subscription-based coding assistance.</t>
  </si>
  <si>
    <t>Figma Design Software</t>
  </si>
  <si>
    <t>Professional, Organization</t>
  </si>
  <si>
    <t>$12 - $45</t>
  </si>
  <si>
    <t>Tiered pricing based on collaboration and features.</t>
  </si>
  <si>
    <t>Adobe Suite</t>
  </si>
  <si>
    <t>Creative Cloud All Apps</t>
  </si>
  <si>
    <t>$60 - $90, Higher for business</t>
  </si>
  <si>
    <t>Business plans are higher to account for team collaboration.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</si>
</sst>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#,##0.00&quot;$&quot;"/>
    <numFmt numFmtId="166" formatCode="[$$]#,##0"/>
    <numFmt numFmtId="167" formatCode="&quot;$&quot;#,##0"/>
  </numFmts>
  <fonts count="14">
    <font>
      <sz val="10.0"/>
      <color rgb="FF000000"/>
      <name val="Arial"/>
      <scheme val="minor"/>
    </font>
    <font>
      <b/>
      <color theme="1"/>
      <name val="Montserrat Alternates"/>
    </font>
    <font>
      <color theme="1"/>
      <name val="Montserrat Alternates"/>
    </font>
    <font>
      <color theme="1"/>
      <name val="Arial"/>
      <scheme val="minor"/>
    </font>
    <font>
      <sz val="10.0"/>
      <color rgb="FF595959"/>
      <name val="Montserrat Alternates"/>
    </font>
    <font>
      <sz val="18.0"/>
      <color rgb="FF595959"/>
      <name val="Montserrat Alternates"/>
    </font>
    <font>
      <b/>
      <color theme="1"/>
      <name val="Arial"/>
      <scheme val="minor"/>
    </font>
    <font>
      <u/>
      <color rgb="FF0000FF"/>
    </font>
    <font>
      <b/>
      <u/>
      <color rgb="FF0000FF"/>
    </font>
    <font>
      <u/>
      <color rgb="FF0000FF"/>
      <name val="Montserrat Alternates"/>
    </font>
    <font>
      <b/>
      <sz val="11.0"/>
      <color theme="1"/>
      <name val="Montserrat Alternates"/>
    </font>
    <font>
      <sz val="11.0"/>
      <color theme="1"/>
      <name val="Montserrat Alternates"/>
    </font>
    <font>
      <sz val="11.0"/>
      <color rgb="FF000000"/>
      <name val="Montserrat Alternates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/>
    </xf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2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right" readingOrder="0"/>
    </xf>
    <xf borderId="0" fillId="0" fontId="2" numFmtId="3" xfId="0" applyFont="1" applyNumberFormat="1"/>
    <xf borderId="0" fillId="0" fontId="4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5" numFmtId="0" xfId="0" applyFont="1"/>
    <xf borderId="0" fillId="0" fontId="2" numFmtId="166" xfId="0" applyAlignment="1" applyFont="1" applyNumberFormat="1">
      <alignment readingOrder="0"/>
    </xf>
    <xf borderId="0" fillId="0" fontId="2" numFmtId="166" xfId="0" applyFont="1" applyNumberFormat="1"/>
    <xf borderId="0" fillId="2" fontId="6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166" xfId="0" applyFont="1" applyNumberFormat="1"/>
    <xf borderId="0" fillId="2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2" fontId="2" numFmtId="166" xfId="0" applyAlignment="1" applyFont="1" applyNumberFormat="1">
      <alignment readingOrder="0"/>
    </xf>
    <xf borderId="0" fillId="2" fontId="1" numFmtId="166" xfId="0" applyFont="1" applyNumberFormat="1"/>
    <xf borderId="0" fillId="0" fontId="6" numFmtId="166" xfId="0" applyFont="1" applyNumberFormat="1"/>
    <xf borderId="0" fillId="0" fontId="1" numFmtId="166" xfId="0" applyFont="1" applyNumberFormat="1"/>
    <xf borderId="0" fillId="0" fontId="2" numFmtId="166" xfId="0" applyFont="1" applyNumberFormat="1"/>
    <xf borderId="0" fillId="0" fontId="2" numFmtId="166" xfId="0" applyAlignment="1" applyFont="1" applyNumberFormat="1">
      <alignment readingOrder="0"/>
    </xf>
    <xf borderId="0" fillId="0" fontId="7" numFmtId="0" xfId="0" applyAlignment="1" applyFont="1">
      <alignment readingOrder="0"/>
    </xf>
    <xf borderId="1" fillId="0" fontId="8" numFmtId="0" xfId="0" applyAlignment="1" applyBorder="1" applyFont="1">
      <alignment readingOrder="0" vertical="top"/>
    </xf>
    <xf borderId="1" fillId="0" fontId="6" numFmtId="3" xfId="0" applyAlignment="1" applyBorder="1" applyFont="1" applyNumberFormat="1">
      <alignment horizontal="right" readingOrder="0" vertical="top"/>
    </xf>
    <xf borderId="1" fillId="0" fontId="3" numFmtId="0" xfId="0" applyAlignment="1" applyBorder="1" applyFont="1">
      <alignment readingOrder="0" vertical="top"/>
    </xf>
    <xf borderId="0" fillId="0" fontId="3" numFmtId="3" xfId="0" applyFont="1" applyNumberFormat="1"/>
    <xf borderId="0" fillId="0" fontId="3" numFmtId="3" xfId="0" applyAlignment="1" applyFont="1" applyNumberFormat="1">
      <alignment readingOrder="0"/>
    </xf>
    <xf borderId="0" fillId="0" fontId="3" numFmtId="0" xfId="0" applyFont="1"/>
    <xf borderId="0" fillId="0" fontId="6" numFmtId="0" xfId="0" applyAlignment="1" applyFont="1">
      <alignment readingOrder="0"/>
    </xf>
    <xf borderId="1" fillId="0" fontId="3" numFmtId="0" xfId="0" applyAlignment="1" applyBorder="1" applyFont="1">
      <alignment vertical="top"/>
    </xf>
    <xf borderId="0" fillId="0" fontId="2" numFmtId="167" xfId="0" applyAlignment="1" applyFont="1" applyNumberFormat="1">
      <alignment readingOrder="0"/>
    </xf>
    <xf borderId="0" fillId="0" fontId="2" numFmtId="167" xfId="0" applyFont="1" applyNumberForma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1" numFmtId="0" xfId="0" applyAlignment="1" applyFont="1">
      <alignment readingOrder="0"/>
    </xf>
    <xf borderId="0" fillId="3" fontId="11" numFmtId="0" xfId="0" applyAlignment="1" applyFill="1" applyFont="1">
      <alignment readingOrder="0"/>
    </xf>
    <xf borderId="0" fillId="4" fontId="11" numFmtId="0" xfId="0" applyAlignment="1" applyFill="1" applyFont="1">
      <alignment readingOrder="0"/>
    </xf>
    <xf borderId="0" fillId="2" fontId="11" numFmtId="0" xfId="0" applyAlignment="1" applyFont="1">
      <alignment readingOrder="0"/>
    </xf>
    <xf borderId="0" fillId="2" fontId="11" numFmtId="0" xfId="0" applyFont="1"/>
    <xf borderId="0" fillId="0" fontId="12" numFmtId="0" xfId="0" applyAlignment="1" applyFont="1">
      <alignment readingOrder="0"/>
    </xf>
    <xf borderId="0" fillId="0" fontId="12" numFmtId="0" xfId="0" applyFont="1"/>
    <xf borderId="0" fillId="0" fontId="1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'Counts and Profit'!$A$9</c:f>
            </c:strRef>
          </c:tx>
          <c:spPr>
            <a:solidFill>
              <a:srgbClr val="62189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2189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62189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'Counts and Profit'!$B$8:$D$8</c:f>
            </c:strRef>
          </c:cat>
          <c:val>
            <c:numRef>
              <c:f>'Counts and Profit'!$B$9:$D$9</c:f>
              <c:numCache/>
            </c:numRef>
          </c:val>
        </c:ser>
        <c:axId val="457603663"/>
        <c:axId val="993658389"/>
      </c:barChart>
      <c:catAx>
        <c:axId val="457603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 Student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658389"/>
      </c:catAx>
      <c:valAx>
        <c:axId val="993658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LMS Users 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603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'Counts and Profit'!$A$14</c:f>
            </c:strRef>
          </c:tx>
          <c:spPr>
            <a:solidFill>
              <a:srgbClr val="62189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2189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62189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'Counts and Profit'!$B$13:$D$13</c:f>
            </c:strRef>
          </c:cat>
          <c:val>
            <c:numRef>
              <c:f>'Counts and Profit'!$B$14:$D$14</c:f>
              <c:numCache/>
            </c:numRef>
          </c:val>
        </c:ser>
        <c:axId val="1285919471"/>
        <c:axId val="970039144"/>
      </c:barChart>
      <c:catAx>
        <c:axId val="1285919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Global Student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039144"/>
      </c:catAx>
      <c:valAx>
        <c:axId val="970039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LMS Users Global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9194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142</xdr:row>
      <xdr:rowOff>85725</xdr:rowOff>
    </xdr:from>
    <xdr:ext cx="71056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904875</xdr:colOff>
      <xdr:row>164</xdr:row>
      <xdr:rowOff>95250</xdr:rowOff>
    </xdr:from>
    <xdr:ext cx="71056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tthew Mckeller" id="{ea04c5c9-f0ec-44a6-bbff-3a90b5bc5d8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0" dT="2025-03-24T01:08:01.00" personId="{ea04c5c9-f0ec-44a6-bbff-3a90b5bc5d8c}" id="{0e8ce16b-7945-49ba-8386-5d432ec63f7c}" done="0">
    <x18tc:text xml:space="preserve">Covers ed.link cost</x18tc:text>
  </x18tc:threadedComment>
  <x18tc:threadedComment ref="A18" dT="2025-03-05T20:04:24.00" personId="{ea04c5c9-f0ec-44a6-bbff-3a90b5bc5d8c}" id="{c42fbc13-5e94-4601-bc0d-537cbaa0eef1}" done="0">
    <x18tc:text xml:space="preserve">Does not include all colleges, used top 20 or something like that
Conservative estimate
See StudentCountsMO Tab
https://dese.mo.gov/
https://datacentral.ksde.org/#:~:text=Kansas%20K%2D12%20Reports,in%20the%20State%20of%20Kansas.</x18tc:text>
    <x18tc:extLst>
      <ext uri="{F7C98A9C-CBB3-438F-8F68-D28B6AF4A901}">
        <xltc2:checksum/>
        <xltc2:hyperlink startIndex="113" length="20" url="https://dese.mo.gov/"/>
        <xltc2:hyperlink startIndex="134" length="94" url="https://datacentral.ksde.org/#:~:text=Kansas%20K%2D12%20Reports,in%20the%20State%20of%20Kansas"/>
      </ext>
    </x18tc:extLst>
  </x18tc:threadedComment>
  <x18tc:threadedComment ref="A22" dT="2025-03-07T02:28:46.00" personId="{ea04c5c9-f0ec-44a6-bbff-3a90b5bc5d8c}" id="{272c0d84-a877-4f69-8f6b-f5276ea50faa}" done="0">
    <x18tc:text xml:space="preserve">Does not include all schools and colleges but used the larger ones
Conservative Estimate
See StudentCountsMO Tab</x18tc:text>
  </x18tc:threadedComment>
  <x18tc:threadedComment ref="E20" dT="2025-03-05T20:48:06.00" personId="{ea04c5c9-f0ec-44a6-bbff-3a90b5bc5d8c}" id="{aef72b12-e598-4ae8-b4a9-0488ea4b71d2}" done="0">
    <x18tc:text xml:space="preserve">Does not include all colleges, used top 20 or something like that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" dT="2025-03-05T20:26:33.00" personId="{ea04c5c9-f0ec-44a6-bbff-3a90b5bc5d8c}" id="{675b3947-fea9-4103-a3b1-7d8d31a44df5}" done="0">
    <x18tc:text xml:space="preserve">https://nces.ed.gov/programs/coe/indicator/cgc/private-school-enrollment#:~:text=In%20the%20fall%20of%202021,students)%20were%20enrolled%20in%20private</x18tc:text>
    <x18tc:extLst>
      <ext uri="{F7C98A9C-CBB3-438F-8F68-D28B6AF4A901}">
        <xltc2:checksum/>
        <xltc2:hyperlink startIndex="0" length="151" url="https://nces.ed.gov/programs/coe/indicator/cgc/private-school-enrollment#:~:text=In%20the%20fall%20of%202021,students)%20were%20enrolled%20in%20private"/>
      </ext>
    </x18tc:extLst>
  </x18tc:threadedComment>
  <x18tc:threadedComment ref="F2" dT="2025-03-05T20:20:52.00" personId="{ea04c5c9-f0ec-44a6-bbff-3a90b5bc5d8c}" id="{7737ffc7-85d0-4da9-a1e1-8b6dddacdbf0}" done="0">
    <x18tc:text xml:space="preserve">https://apps.dese.mo.gov/MCDS/Visualizations.aspx?id=22</x18tc:text>
    <x18tc:extLst>
      <ext uri="{F7C98A9C-CBB3-438F-8F68-D28B6AF4A901}">
        <xltc2:checksum/>
        <xltc2:hyperlink startIndex="0" length="55" url="https://apps.dese.mo.gov/MCDS/Visualizations.aspx?id=22"/>
      </ext>
    </x18tc:extLs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5-03-04T19:33:20.00" personId="{ea04c5c9-f0ec-44a6-bbff-3a90b5bc5d8c}" id="{d01ef2ed-15c8-48d9-9f81-1c9a66e3715c}" done="1">
    <x18tc:text xml:space="preserve">Potentially negotiable</x18tc:text>
  </x18tc:threadedComment>
  <x18tc:threadedComment ref="A2" dT="2025-03-04T19:35:56.00" personId="{ea04c5c9-f0ec-44a6-bbff-3a90b5bc5d8c}" id="{8462cd76-28d8-45ca-a87d-54e04a2690c4}" done="0">
    <x18tc:text xml:space="preserve">Potentially Negotiable, reduces with scale. Personally I think this feels high. 
Clever's Version has limited integration options but perhaps its to test. They are charging less. They are integrating with ed.link to provide this I believe</x18tc:text>
  </x18tc:threadedComment>
  <x18tc:threadedComment ref="A2" dT="2025-03-04T19:46:05.00" personId="{ea04c5c9-f0ec-44a6-bbff-3a90b5bc5d8c}" id="{bf4ee68f-7ed6-4061-b648-ea2d70ceeeb3}" parentId="{8462cd76-28d8-45ca-a87d-54e04a2690c4}">
    <x18tc:text xml:space="preserve">0-10 10c
10-100 5c
100-1mil 2.5c
1mil+ 1c: 20,500/m?</x18tc:text>
  </x18tc:threadedComment>
  <x18tc:threadedComment ref="A2" dT="2025-03-04T19:46:13.00" personId="{ea04c5c9-f0ec-44a6-bbff-3a90b5bc5d8c}" id="{95f94324-a921-4147-9cb1-18a39fdfd5c0}" parentId="{8462cd76-28d8-45ca-a87d-54e04a2690c4}">
    <x18tc:text xml:space="preserve">maybe negotiable</x18tc:text>
  </x18tc:threadedComment>
  <x18tc:threadedComment ref="C3" dT="2025-09-27T23:53:44.00" personId="{ea04c5c9-f0ec-44a6-bbff-3a90b5bc5d8c}" id="{cf0f149d-6c5d-4f92-95d4-1369c62dea71}" done="0">
    <x18tc:text xml:space="preserve">2k/school - 11k 50 schools idm 1.5$/year per user?</x18tc:text>
  </x18tc:threadedComment>
  <x18tc:threadedComment ref="A3" dT="2025-03-04T22:18:05.00" personId="{ea04c5c9-f0ec-44a6-bbff-3a90b5bc5d8c}" id="{63da70b3-93ef-4bd0-a612-8f7572ec9010}" done="0">
    <x18tc:text xml:space="preserve">Need more details on cost scaling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llegesimply.com/colleges/missouri/east-central-college/" TargetMode="External"/><Relationship Id="rId20" Type="http://schemas.openxmlformats.org/officeDocument/2006/relationships/hyperlink" Target="https://www.collegesimply.com/colleges/missouri/lindenwood-university/" TargetMode="External"/><Relationship Id="rId42" Type="http://schemas.openxmlformats.org/officeDocument/2006/relationships/drawing" Target="../drawings/drawing3.xml"/><Relationship Id="rId41" Type="http://schemas.openxmlformats.org/officeDocument/2006/relationships/hyperlink" Target="https://www.collegesimply.com/colleges/missouri/mineral-area-college/" TargetMode="External"/><Relationship Id="rId22" Type="http://schemas.openxmlformats.org/officeDocument/2006/relationships/hyperlink" Target="https://www.collegesimply.com/colleges/missouri/park-university/" TargetMode="External"/><Relationship Id="rId21" Type="http://schemas.openxmlformats.org/officeDocument/2006/relationships/hyperlink" Target="https://www.collegesimply.com/colleges/missouri/missouri-university-of-science-and-technology/" TargetMode="External"/><Relationship Id="rId43" Type="http://schemas.openxmlformats.org/officeDocument/2006/relationships/vmlDrawing" Target="../drawings/vmlDrawing2.vml"/><Relationship Id="rId24" Type="http://schemas.openxmlformats.org/officeDocument/2006/relationships/hyperlink" Target="https://www.collegesimply.com/colleges/missouri/st-charles-community-college/" TargetMode="External"/><Relationship Id="rId23" Type="http://schemas.openxmlformats.org/officeDocument/2006/relationships/hyperlink" Target="https://www.collegesimply.com/colleges/missouri/columbia-college-mo/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www.collegesimply.com/colleges/rank/colleges/largest-enrollment/state/missouri/?page=2" TargetMode="External"/><Relationship Id="rId9" Type="http://schemas.openxmlformats.org/officeDocument/2006/relationships/hyperlink" Target="https://www.collegesimply.com/colleges/missouri/washington-university-in-st-louis/" TargetMode="External"/><Relationship Id="rId26" Type="http://schemas.openxmlformats.org/officeDocument/2006/relationships/hyperlink" Target="https://www.collegesimply.com/colleges/missouri/metropolitan-community-college-penn-valley/" TargetMode="External"/><Relationship Id="rId25" Type="http://schemas.openxmlformats.org/officeDocument/2006/relationships/hyperlink" Target="https://www.collegesimply.com/colleges/missouri/missouri-baptist-university/" TargetMode="External"/><Relationship Id="rId28" Type="http://schemas.openxmlformats.org/officeDocument/2006/relationships/hyperlink" Target="https://www.collegesimply.com/colleges/missouri/moberly-area-community-college/" TargetMode="External"/><Relationship Id="rId27" Type="http://schemas.openxmlformats.org/officeDocument/2006/relationships/hyperlink" Target="https://www.collegesimply.com/colleges/missouri/metropolitan-community-college-maple-woods/" TargetMode="External"/><Relationship Id="rId5" Type="http://schemas.openxmlformats.org/officeDocument/2006/relationships/hyperlink" Target="https://www.collegesimply.com/colleges/missouri/university-of-missouri-columbia/" TargetMode="External"/><Relationship Id="rId6" Type="http://schemas.openxmlformats.org/officeDocument/2006/relationships/hyperlink" Target="https://apps.dese.mo.gov/MCDS/Visualizations.aspx?id=22" TargetMode="External"/><Relationship Id="rId29" Type="http://schemas.openxmlformats.org/officeDocument/2006/relationships/hyperlink" Target="https://www.collegesimply.com/colleges/missouri/missouri-southern-state-university/" TargetMode="External"/><Relationship Id="rId7" Type="http://schemas.openxmlformats.org/officeDocument/2006/relationships/hyperlink" Target="https://www.collegesimply.com/colleges/missouri/missouri-state-university-springfield/" TargetMode="External"/><Relationship Id="rId8" Type="http://schemas.openxmlformats.org/officeDocument/2006/relationships/hyperlink" Target="https://www.collegesimply.com/colleges/missouri/saint-louis-university-main-campus/" TargetMode="External"/><Relationship Id="rId31" Type="http://schemas.openxmlformats.org/officeDocument/2006/relationships/hyperlink" Target="https://www.collegesimply.com/colleges/missouri/midwestern-baptist-theological-seminary/" TargetMode="External"/><Relationship Id="rId30" Type="http://schemas.openxmlformats.org/officeDocument/2006/relationships/hyperlink" Target="https://www.collegesimply.com/colleges/missouri/crowder-college/" TargetMode="External"/><Relationship Id="rId11" Type="http://schemas.openxmlformats.org/officeDocument/2006/relationships/hyperlink" Target="https://www.collegesimply.com/colleges/missouri/university-of-missouri-st-louis/" TargetMode="External"/><Relationship Id="rId33" Type="http://schemas.openxmlformats.org/officeDocument/2006/relationships/hyperlink" Target="https://www.collegesimply.com/colleges/missouri/jefferson-college/" TargetMode="External"/><Relationship Id="rId10" Type="http://schemas.openxmlformats.org/officeDocument/2006/relationships/hyperlink" Target="https://www.collegesimply.com/colleges/missouri/university-of-missouri-kansas-city/" TargetMode="External"/><Relationship Id="rId32" Type="http://schemas.openxmlformats.org/officeDocument/2006/relationships/hyperlink" Target="https://www.collegesimply.com/colleges/missouri/missouri-western-state-university/" TargetMode="External"/><Relationship Id="rId13" Type="http://schemas.openxmlformats.org/officeDocument/2006/relationships/hyperlink" Target="https://www.collegesimply.com/colleges/missouri/metropolitan-community-college-longview/" TargetMode="External"/><Relationship Id="rId35" Type="http://schemas.openxmlformats.org/officeDocument/2006/relationships/hyperlink" Target="https://www.collegesimply.com/colleges/missouri/grantham-university/" TargetMode="External"/><Relationship Id="rId12" Type="http://schemas.openxmlformats.org/officeDocument/2006/relationships/hyperlink" Target="https://www.collegesimply.com/colleges/missouri/saint-louis-community-college/" TargetMode="External"/><Relationship Id="rId34" Type="http://schemas.openxmlformats.org/officeDocument/2006/relationships/hyperlink" Target="https://www.collegesimply.com/colleges/missouri/state-fair-community-college/" TargetMode="External"/><Relationship Id="rId15" Type="http://schemas.openxmlformats.org/officeDocument/2006/relationships/hyperlink" Target="https://www.collegesimply.com/colleges/missouri/ozarks-technical-community-college/" TargetMode="External"/><Relationship Id="rId37" Type="http://schemas.openxmlformats.org/officeDocument/2006/relationships/hyperlink" Target="https://www.collegesimply.com/colleges/missouri/metropolitan-community-college-blue-river/" TargetMode="External"/><Relationship Id="rId14" Type="http://schemas.openxmlformats.org/officeDocument/2006/relationships/hyperlink" Target="https://www.collegesimply.com/colleges/missouri/university-of-central-missouri/" TargetMode="External"/><Relationship Id="rId36" Type="http://schemas.openxmlformats.org/officeDocument/2006/relationships/hyperlink" Target="https://www.collegesimply.com/colleges/missouri/truman-state-university/" TargetMode="External"/><Relationship Id="rId17" Type="http://schemas.openxmlformats.org/officeDocument/2006/relationships/hyperlink" Target="https://www.collegesimply.com/colleges/missouri/southeast-missouri-state-university/" TargetMode="External"/><Relationship Id="rId39" Type="http://schemas.openxmlformats.org/officeDocument/2006/relationships/hyperlink" Target="https://www.collegesimply.com/colleges/missouri/three-rivers-community-college-mo/" TargetMode="External"/><Relationship Id="rId16" Type="http://schemas.openxmlformats.org/officeDocument/2006/relationships/hyperlink" Target="https://www.collegesimply.com/colleges/missouri/maryville-university-of-saint-louis/" TargetMode="External"/><Relationship Id="rId38" Type="http://schemas.openxmlformats.org/officeDocument/2006/relationships/hyperlink" Target="https://www.collegesimply.com/colleges/missouri/rockhurst-university/" TargetMode="External"/><Relationship Id="rId19" Type="http://schemas.openxmlformats.org/officeDocument/2006/relationships/hyperlink" Target="https://www.collegesimply.com/colleges/missouri/webster-university/" TargetMode="External"/><Relationship Id="rId18" Type="http://schemas.openxmlformats.org/officeDocument/2006/relationships/hyperlink" Target="https://www.collegesimply.com/colleges/missouri/northwest-missouri-state-university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cloud.google.com/products/calculator?hl=en&amp;dl=CjhDaVJsT0dGak5qWXlOUzB6TUdNNExUUTFZV010T0dGa09TMDROR1ZtTTJKa1lqRXpOMlVRQVE9PRAOGiRERDc0NTczQi1GODE5LTQ5NEYtQjc5MS0wMjNGNTExRDFFQ0E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75"/>
    <col customWidth="1" min="2" max="2" width="37.0"/>
    <col customWidth="1" min="3" max="3" width="30.25"/>
    <col customWidth="1" min="4" max="4" width="27.63"/>
    <col customWidth="1" min="5" max="5" width="23.25"/>
    <col customWidth="1" min="6" max="6" width="37.38"/>
    <col customWidth="1" min="7" max="7" width="25.13"/>
  </cols>
  <sheetData>
    <row r="1">
      <c r="A1" s="1" t="s">
        <v>0</v>
      </c>
      <c r="B1" s="2"/>
      <c r="C1" s="1" t="s">
        <v>1</v>
      </c>
      <c r="D1" s="2"/>
      <c r="E1" s="3"/>
      <c r="F1" s="1" t="s">
        <v>2</v>
      </c>
      <c r="G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>
        <v>0.4</v>
      </c>
      <c r="C2" s="6" t="s">
        <v>4</v>
      </c>
      <c r="D2" s="5">
        <v>0.2</v>
      </c>
      <c r="E2" s="3"/>
      <c r="F2" s="2" t="s">
        <v>5</v>
      </c>
      <c r="G2" s="7">
        <v>7.5E7</v>
      </c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>
        <v>45816.0</v>
      </c>
      <c r="B3" s="5">
        <v>0.25</v>
      </c>
      <c r="C3" s="6" t="s">
        <v>6</v>
      </c>
      <c r="D3" s="5">
        <v>0.32</v>
      </c>
      <c r="E3" s="3"/>
      <c r="F3" s="2" t="s">
        <v>7</v>
      </c>
      <c r="G3" s="2">
        <v>1.9E7</v>
      </c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>
        <v>45912.0</v>
      </c>
      <c r="B4" s="5">
        <v>0.35</v>
      </c>
      <c r="C4" s="9">
        <v>45816.0</v>
      </c>
      <c r="D4" s="5">
        <v>0.2</v>
      </c>
      <c r="E4" s="3"/>
      <c r="F4" s="2" t="s">
        <v>8</v>
      </c>
      <c r="G4" s="7">
        <v>4.96E7</v>
      </c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2"/>
      <c r="C5" s="9">
        <v>45912.0</v>
      </c>
      <c r="D5" s="5">
        <v>0.28</v>
      </c>
      <c r="E5" s="3"/>
      <c r="F5" s="2" t="s">
        <v>9</v>
      </c>
      <c r="G5" s="7">
        <v>5500000.0</v>
      </c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B6" s="2"/>
      <c r="C6" s="2"/>
      <c r="D6" s="2"/>
      <c r="E6" s="3"/>
      <c r="F6" s="2"/>
      <c r="G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2"/>
      <c r="C7" s="2"/>
      <c r="D7" s="2"/>
      <c r="E7" s="3"/>
      <c r="F7" s="2"/>
      <c r="G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10</v>
      </c>
      <c r="B8" s="2" t="s">
        <v>11</v>
      </c>
      <c r="C8" s="2" t="s">
        <v>12</v>
      </c>
      <c r="D8" s="2" t="s">
        <v>13</v>
      </c>
      <c r="E8" s="3"/>
      <c r="F8" s="2" t="s">
        <v>14</v>
      </c>
      <c r="G8" s="2" t="s">
        <v>15</v>
      </c>
      <c r="I8" s="2" t="s">
        <v>16</v>
      </c>
      <c r="J8" s="2" t="s">
        <v>17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18</v>
      </c>
      <c r="B9" s="10">
        <f t="shared" ref="B9:B10" si="1">D9*0.68</f>
        <v>47600000</v>
      </c>
      <c r="C9" s="10">
        <f t="shared" ref="C9:C10" si="2">D9*0.32</f>
        <v>22400000</v>
      </c>
      <c r="D9" s="7">
        <v>7.0E7</v>
      </c>
      <c r="E9" s="3"/>
      <c r="F9" s="10">
        <f t="shared" ref="F9:F10" si="3">H9*0.35</f>
        <v>0</v>
      </c>
      <c r="G9" s="10">
        <f t="shared" ref="G9:G10" si="4">H9*0.65</f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19</v>
      </c>
      <c r="B10" s="10">
        <f t="shared" si="1"/>
        <v>51000000</v>
      </c>
      <c r="C10" s="10">
        <f t="shared" si="2"/>
        <v>24000000</v>
      </c>
      <c r="D10" s="7">
        <v>7.5E7</v>
      </c>
      <c r="E10" s="3"/>
      <c r="F10" s="10">
        <f t="shared" si="3"/>
        <v>0</v>
      </c>
      <c r="G10" s="10">
        <f t="shared" si="4"/>
        <v>0</v>
      </c>
      <c r="I10" s="2" t="s">
        <v>20</v>
      </c>
      <c r="J10" s="11">
        <v>3.5E8</v>
      </c>
      <c r="K10" s="7">
        <v>0.0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C11" s="3"/>
      <c r="E11" s="3"/>
      <c r="F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3"/>
      <c r="Z12" s="3"/>
    </row>
    <row r="13">
      <c r="A13" s="1" t="s">
        <v>21</v>
      </c>
      <c r="B13" s="2" t="s">
        <v>11</v>
      </c>
      <c r="C13" s="2" t="s">
        <v>12</v>
      </c>
      <c r="D13" s="2" t="s">
        <v>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3"/>
      <c r="Z13" s="3"/>
    </row>
    <row r="14">
      <c r="A14" s="2" t="s">
        <v>22</v>
      </c>
      <c r="B14" s="10">
        <f t="shared" ref="B14:B15" si="5">D14*0.68</f>
        <v>598400000</v>
      </c>
      <c r="C14" s="10">
        <f t="shared" ref="C14:C15" si="6">D14*0.32</f>
        <v>281600000</v>
      </c>
      <c r="D14" s="7">
        <f>D15*0.55</f>
        <v>880000000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23</v>
      </c>
      <c r="B15" s="10">
        <f t="shared" si="5"/>
        <v>1088000000</v>
      </c>
      <c r="C15" s="10">
        <f t="shared" si="6"/>
        <v>512000000</v>
      </c>
      <c r="D15" s="7">
        <f>1350000000+250000000</f>
        <v>1600000000</v>
      </c>
      <c r="E15" s="3"/>
      <c r="F15" s="3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C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/>
      <c r="C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24</v>
      </c>
      <c r="B18" s="2" t="s">
        <v>25</v>
      </c>
      <c r="C18" s="2" t="s">
        <v>26</v>
      </c>
      <c r="D18" s="2" t="s">
        <v>27</v>
      </c>
      <c r="E18" s="2" t="s">
        <v>13</v>
      </c>
      <c r="F18" s="2"/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28</v>
      </c>
      <c r="B19" s="10">
        <f t="shared" ref="B19:E19" si="7">B20</f>
        <v>868218.17</v>
      </c>
      <c r="C19" s="10">
        <f t="shared" si="7"/>
        <v>634043.9325</v>
      </c>
      <c r="D19" s="10">
        <f t="shared" si="7"/>
        <v>374678.78</v>
      </c>
      <c r="E19" s="10">
        <f t="shared" si="7"/>
        <v>1242896.95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29</v>
      </c>
      <c r="B20" s="10">
        <f>sum(StudentCountsMO!D2, StudentCountsMO!G4 * 0.6)</f>
        <v>868218.17</v>
      </c>
      <c r="C20" s="10">
        <f>sum(StudentCountsMO!D2, StudentCountsMO!G4 * 0.35)</f>
        <v>634043.9325</v>
      </c>
      <c r="D20" s="10">
        <f>sum(StudentCountsMO!G4*0.4)</f>
        <v>374678.78</v>
      </c>
      <c r="E20" s="10">
        <f>StudentCountsMO!D2+StudentCountsMO!G2+StudentCountsMO!G3</f>
        <v>1242896.95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/>
      <c r="C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30</v>
      </c>
      <c r="B22" s="2" t="s">
        <v>25</v>
      </c>
      <c r="C22" s="2" t="s">
        <v>26</v>
      </c>
      <c r="D22" s="2" t="s">
        <v>27</v>
      </c>
      <c r="E22" s="2" t="s">
        <v>13</v>
      </c>
      <c r="F22" s="2"/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28</v>
      </c>
      <c r="B23" s="10">
        <f t="shared" ref="B23:E23" si="8">B24</f>
        <v>188164</v>
      </c>
      <c r="C23" s="10">
        <f t="shared" si="8"/>
        <v>149806.9</v>
      </c>
      <c r="D23" s="3">
        <f t="shared" si="8"/>
        <v>102285.6</v>
      </c>
      <c r="E23" s="10">
        <f t="shared" si="8"/>
        <v>316021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29</v>
      </c>
      <c r="B24" s="10">
        <f>sum(StudentCountsMO!D3, 0.5*StudentCountsMO!G6)</f>
        <v>188164</v>
      </c>
      <c r="C24" s="10">
        <f>sum(StudentCountsMO!D3, 0.35*StudentCountsMO!G6)</f>
        <v>149806.9</v>
      </c>
      <c r="D24" s="3">
        <f>sum(StudentCountsMO!G6*0.4)</f>
        <v>102285.6</v>
      </c>
      <c r="E24" s="10">
        <f>StudentCountsMO!G6+StudentCountsMO!D3</f>
        <v>316021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31</v>
      </c>
      <c r="B25" s="2"/>
      <c r="C25" s="2"/>
      <c r="D25" s="1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/>
      <c r="B26" s="2"/>
      <c r="C26" s="2"/>
      <c r="D26" s="1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/>
      <c r="B27" s="2"/>
      <c r="C27" s="2"/>
      <c r="D27" s="1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32</v>
      </c>
      <c r="B28" s="2" t="s">
        <v>33</v>
      </c>
      <c r="C28" s="2" t="s">
        <v>34</v>
      </c>
      <c r="D28" s="13" t="s">
        <v>35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36</v>
      </c>
      <c r="B29" s="2" t="s">
        <v>37</v>
      </c>
      <c r="C29" s="2" t="s">
        <v>38</v>
      </c>
      <c r="D29" s="13" t="s">
        <v>39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40</v>
      </c>
      <c r="B30" s="14" t="s">
        <v>41</v>
      </c>
      <c r="C30" s="2" t="s">
        <v>42</v>
      </c>
      <c r="D30" s="13" t="s">
        <v>39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1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43</v>
      </c>
      <c r="B37" s="2" t="s">
        <v>44</v>
      </c>
      <c r="C37" s="2" t="s">
        <v>45</v>
      </c>
      <c r="D37" s="2" t="s">
        <v>46</v>
      </c>
      <c r="E37" s="2" t="s">
        <v>47</v>
      </c>
      <c r="F37" s="2" t="s">
        <v>48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49</v>
      </c>
      <c r="B38" s="16">
        <f t="shared" ref="B38:F38" si="9">0.01*B41</f>
        <v>5712000</v>
      </c>
      <c r="C38" s="17">
        <f t="shared" si="9"/>
        <v>5712000</v>
      </c>
      <c r="D38" s="16">
        <f t="shared" si="9"/>
        <v>17136000</v>
      </c>
      <c r="E38" s="17">
        <f t="shared" si="9"/>
        <v>14280000</v>
      </c>
      <c r="F38" s="16">
        <f t="shared" si="9"/>
        <v>42840000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50</v>
      </c>
      <c r="B39" s="16">
        <f t="shared" ref="B39:F39" si="10">0.25*B41</f>
        <v>142800000</v>
      </c>
      <c r="C39" s="17">
        <f t="shared" si="10"/>
        <v>142800000</v>
      </c>
      <c r="D39" s="16">
        <f t="shared" si="10"/>
        <v>428400000</v>
      </c>
      <c r="E39" s="17">
        <f t="shared" si="10"/>
        <v>357000000</v>
      </c>
      <c r="F39" s="16">
        <f t="shared" si="10"/>
        <v>1071000000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51</v>
      </c>
      <c r="B40" s="16">
        <f t="shared" ref="B40:F40" si="11">0.51*B41</f>
        <v>291312000</v>
      </c>
      <c r="C40" s="17">
        <f t="shared" si="11"/>
        <v>291312000</v>
      </c>
      <c r="D40" s="16">
        <f t="shared" si="11"/>
        <v>873936000</v>
      </c>
      <c r="E40" s="17">
        <f t="shared" si="11"/>
        <v>728280000</v>
      </c>
      <c r="F40" s="16">
        <f t="shared" si="11"/>
        <v>2184840000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52</v>
      </c>
      <c r="B41" s="16">
        <f>12*B9</f>
        <v>571200000</v>
      </c>
      <c r="C41" s="17">
        <f>120*B9*0.1</f>
        <v>571200000</v>
      </c>
      <c r="D41" s="17">
        <f>120*B9*0.3</f>
        <v>1713600000</v>
      </c>
      <c r="E41" s="17">
        <f>300*B9*0.1</f>
        <v>1428000000</v>
      </c>
      <c r="F41" s="17">
        <f>300*B9*0.3</f>
        <v>4284000000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/>
      <c r="B42" s="2"/>
      <c r="C42" s="2"/>
      <c r="D42" s="2"/>
      <c r="E42" s="2"/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53</v>
      </c>
      <c r="B43" s="2" t="s">
        <v>44</v>
      </c>
      <c r="C43" s="2" t="s">
        <v>54</v>
      </c>
      <c r="D43" s="2" t="s">
        <v>46</v>
      </c>
      <c r="E43" s="2" t="s">
        <v>47</v>
      </c>
      <c r="F43" s="2" t="s">
        <v>48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/>
      <c r="B44" s="17">
        <f t="shared" ref="B44:F44" si="12">0.01*B47</f>
        <v>71808000</v>
      </c>
      <c r="C44" s="17">
        <f t="shared" si="12"/>
        <v>71808000</v>
      </c>
      <c r="D44" s="17">
        <f t="shared" si="12"/>
        <v>215424000</v>
      </c>
      <c r="E44" s="17">
        <f t="shared" si="12"/>
        <v>179520000</v>
      </c>
      <c r="F44" s="17">
        <f t="shared" si="12"/>
        <v>179520000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50</v>
      </c>
      <c r="B45" s="17">
        <f t="shared" ref="B45:F45" si="13">0.25*B47</f>
        <v>1795200000</v>
      </c>
      <c r="C45" s="17">
        <f t="shared" si="13"/>
        <v>1795200000</v>
      </c>
      <c r="D45" s="17">
        <f t="shared" si="13"/>
        <v>5385600000</v>
      </c>
      <c r="E45" s="17">
        <f t="shared" si="13"/>
        <v>4488000000</v>
      </c>
      <c r="F45" s="17">
        <f t="shared" si="13"/>
        <v>4488000000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51</v>
      </c>
      <c r="B46" s="17">
        <f t="shared" ref="B46:F46" si="14">0.51*B47</f>
        <v>3662208000</v>
      </c>
      <c r="C46" s="17">
        <f t="shared" si="14"/>
        <v>3662208000</v>
      </c>
      <c r="D46" s="17">
        <f t="shared" si="14"/>
        <v>10986624000</v>
      </c>
      <c r="E46" s="17">
        <f t="shared" si="14"/>
        <v>9155520000</v>
      </c>
      <c r="F46" s="17">
        <f t="shared" si="14"/>
        <v>9155520000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52</v>
      </c>
      <c r="B47" s="17">
        <f>12*B14</f>
        <v>7180800000</v>
      </c>
      <c r="C47" s="17">
        <f>120*B14*0.1</f>
        <v>7180800000</v>
      </c>
      <c r="D47" s="17">
        <f>120*B14*0.3</f>
        <v>21542400000</v>
      </c>
      <c r="E47" s="17">
        <f>300*B14*0.1</f>
        <v>17952000000</v>
      </c>
      <c r="F47" s="17">
        <f>300*B14*0.1</f>
        <v>17952000000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55</v>
      </c>
      <c r="B50" s="2" t="s">
        <v>56</v>
      </c>
      <c r="C50" s="2" t="s">
        <v>57</v>
      </c>
      <c r="D50" s="2" t="s">
        <v>45</v>
      </c>
      <c r="E50" s="2" t="s">
        <v>46</v>
      </c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50</v>
      </c>
      <c r="B51" s="17">
        <f>0.25*B53</f>
        <v>6720000</v>
      </c>
      <c r="C51" s="17">
        <f>C53*0.25</f>
        <v>67200000</v>
      </c>
      <c r="D51" s="17">
        <f t="shared" ref="D51:E51" si="15">0.25*D53</f>
        <v>67200000</v>
      </c>
      <c r="E51" s="17">
        <f t="shared" si="15"/>
        <v>201600000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51</v>
      </c>
      <c r="B52" s="17">
        <f>0.51*B53</f>
        <v>13708800</v>
      </c>
      <c r="C52" s="17">
        <f>C53*0.51</f>
        <v>137088000</v>
      </c>
      <c r="D52" s="17">
        <f t="shared" ref="D52:E52" si="16">0.51*D53</f>
        <v>137088000</v>
      </c>
      <c r="E52" s="17">
        <f t="shared" si="16"/>
        <v>411264000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52</v>
      </c>
      <c r="B53" s="17">
        <f>C9*1.2</f>
        <v>26880000</v>
      </c>
      <c r="C53" s="17">
        <f>C9*12</f>
        <v>268800000</v>
      </c>
      <c r="D53" s="17">
        <f>C9*120*0.1</f>
        <v>268800000</v>
      </c>
      <c r="E53" s="17">
        <f>C9*120*0.3</f>
        <v>806400000</v>
      </c>
      <c r="F53" s="1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58</v>
      </c>
      <c r="B55" s="2" t="s">
        <v>56</v>
      </c>
      <c r="C55" s="2" t="s">
        <v>57</v>
      </c>
      <c r="D55" s="2" t="s">
        <v>45</v>
      </c>
      <c r="E55" s="2" t="s">
        <v>46</v>
      </c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50</v>
      </c>
      <c r="B56" s="17">
        <f t="shared" ref="B56:E56" si="17">0.25*B58</f>
        <v>179520000</v>
      </c>
      <c r="C56" s="17">
        <f t="shared" si="17"/>
        <v>1795200000</v>
      </c>
      <c r="D56" s="17">
        <f t="shared" si="17"/>
        <v>1795200000</v>
      </c>
      <c r="E56" s="17">
        <f t="shared" si="17"/>
        <v>2534400000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51</v>
      </c>
      <c r="B57" s="17">
        <f>0.51*B58</f>
        <v>366220800</v>
      </c>
      <c r="C57" s="17">
        <f>C58*0.51</f>
        <v>3662208000</v>
      </c>
      <c r="D57" s="17">
        <f t="shared" ref="D57:E57" si="18">0.51*D58</f>
        <v>3662208000</v>
      </c>
      <c r="E57" s="17">
        <f t="shared" si="18"/>
        <v>5170176000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52</v>
      </c>
      <c r="B58" s="17">
        <f>B14*1.2</f>
        <v>718080000</v>
      </c>
      <c r="C58" s="17">
        <f>B14*12</f>
        <v>7180800000</v>
      </c>
      <c r="D58" s="17">
        <f>B14*120*0.1</f>
        <v>7180800000</v>
      </c>
      <c r="E58" s="17">
        <f>C14*120*0.3</f>
        <v>10137600000</v>
      </c>
      <c r="F58" s="17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59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60</v>
      </c>
      <c r="B61" s="17">
        <f>B62/10</f>
        <v>57120000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61</v>
      </c>
      <c r="B62" s="17">
        <f>B41</f>
        <v>571200000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62</v>
      </c>
      <c r="B63" s="17">
        <f>B53+E53</f>
        <v>833280000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63</v>
      </c>
      <c r="B64" s="17">
        <f>B39+D39</f>
        <v>571200000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64</v>
      </c>
      <c r="B65" s="17">
        <f>B41+D41</f>
        <v>2284800000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65</v>
      </c>
      <c r="B66" s="17">
        <f>B39+D39+B51+E51</f>
        <v>779520000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66</v>
      </c>
      <c r="B67" s="17">
        <f>B41+D41+B53+E53</f>
        <v>3118080000</v>
      </c>
      <c r="C67" s="2" t="s">
        <v>67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68</v>
      </c>
      <c r="B69" s="17">
        <f>B47</f>
        <v>7180800000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62</v>
      </c>
      <c r="B70" s="17">
        <f>B58+E58</f>
        <v>10855680000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69</v>
      </c>
      <c r="B71" s="17">
        <f>B45+D45</f>
        <v>7180800000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70</v>
      </c>
      <c r="B72" s="17">
        <f>B47+D47</f>
        <v>28723200000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71</v>
      </c>
      <c r="B73" s="17">
        <f>B51+E51+B56+E56</f>
        <v>2922240000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72</v>
      </c>
      <c r="B74" s="17">
        <f>B47+D47+B58+E58</f>
        <v>39578880000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 t="s">
        <v>73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8" t="s">
        <v>74</v>
      </c>
      <c r="B83" s="19" t="s">
        <v>75</v>
      </c>
      <c r="C83" s="19" t="s">
        <v>76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9" t="s">
        <v>77</v>
      </c>
      <c r="B84" s="20">
        <f t="shared" ref="B84:B86" si="19">C84/10</f>
        <v>5712000</v>
      </c>
      <c r="C84" s="20">
        <f>B64/10</f>
        <v>57120000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9" t="s">
        <v>78</v>
      </c>
      <c r="B85" s="20">
        <f t="shared" si="19"/>
        <v>57120000</v>
      </c>
      <c r="C85" s="20">
        <f>B64</f>
        <v>571200000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1" t="s">
        <v>79</v>
      </c>
      <c r="B86" s="20">
        <f t="shared" si="19"/>
        <v>171360000</v>
      </c>
      <c r="C86" s="20">
        <f>D41</f>
        <v>1713600000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 t="s">
        <v>80</v>
      </c>
      <c r="B87" s="22">
        <f>C87/100</f>
        <v>3421488</v>
      </c>
      <c r="C87" s="22">
        <f>B9*0.1*5.99*12</f>
        <v>342148800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9" t="s">
        <v>81</v>
      </c>
      <c r="B88" s="23">
        <f t="shared" ref="B88:B90" si="20">C88/10</f>
        <v>2688000</v>
      </c>
      <c r="C88" s="23">
        <f>B53</f>
        <v>26880000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9" t="s">
        <v>82</v>
      </c>
      <c r="B89" s="23">
        <f t="shared" si="20"/>
        <v>26880000</v>
      </c>
      <c r="C89" s="23">
        <f>C53</f>
        <v>268800000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9" t="s">
        <v>83</v>
      </c>
      <c r="B90" s="20">
        <f t="shared" si="20"/>
        <v>80640000</v>
      </c>
      <c r="C90" s="20">
        <f>E53</f>
        <v>806400000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9" t="s">
        <v>84</v>
      </c>
      <c r="B91" s="19" t="s">
        <v>39</v>
      </c>
      <c r="C91" s="19" t="s">
        <v>39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9" t="s">
        <v>85</v>
      </c>
      <c r="B92" s="20">
        <f t="shared" ref="B92:C92" si="21">SUM(B85, B86, B89, B90)</f>
        <v>336000000</v>
      </c>
      <c r="C92" s="20">
        <f t="shared" si="21"/>
        <v>3360000000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1"/>
      <c r="B93" s="19"/>
      <c r="C93" s="1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1" t="s">
        <v>86</v>
      </c>
      <c r="B94" s="19" t="s">
        <v>75</v>
      </c>
      <c r="C94" s="19" t="s">
        <v>76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9" t="s">
        <v>77</v>
      </c>
      <c r="B95" s="20">
        <f t="shared" ref="B95:B97" si="22">C95/10</f>
        <v>71808000</v>
      </c>
      <c r="C95" s="20">
        <f>B47/10</f>
        <v>718080000</v>
      </c>
      <c r="D95" s="1" t="s">
        <v>87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9" t="s">
        <v>78</v>
      </c>
      <c r="B96" s="20">
        <f t="shared" si="22"/>
        <v>718080000</v>
      </c>
      <c r="C96" s="20">
        <f>B47</f>
        <v>7180800000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1" t="s">
        <v>79</v>
      </c>
      <c r="B97" s="24">
        <f t="shared" si="22"/>
        <v>2154240000</v>
      </c>
      <c r="C97" s="24">
        <f>D47</f>
        <v>21542400000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 t="s">
        <v>80</v>
      </c>
      <c r="B98" s="25">
        <f>C98/100</f>
        <v>43012992</v>
      </c>
      <c r="C98" s="26">
        <f>B14*0.1*5.99*12</f>
        <v>4301299200</v>
      </c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9" t="s">
        <v>81</v>
      </c>
      <c r="B99" s="20">
        <f t="shared" ref="B99:B101" si="23">C99/10</f>
        <v>71808000</v>
      </c>
      <c r="C99" s="20">
        <f>B58</f>
        <v>718080000</v>
      </c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9" t="s">
        <v>82</v>
      </c>
      <c r="B100" s="20">
        <f t="shared" si="23"/>
        <v>718080000</v>
      </c>
      <c r="C100" s="20">
        <f>C58</f>
        <v>7180800000</v>
      </c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9" t="s">
        <v>83</v>
      </c>
      <c r="B101" s="20">
        <f t="shared" si="23"/>
        <v>1013760000</v>
      </c>
      <c r="C101" s="20">
        <f>E58</f>
        <v>10137600000</v>
      </c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9" t="s">
        <v>84</v>
      </c>
      <c r="B102" s="19" t="s">
        <v>39</v>
      </c>
      <c r="C102" s="19" t="s">
        <v>39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9" t="s">
        <v>85</v>
      </c>
      <c r="B103" s="20">
        <f t="shared" ref="B103:C103" si="24">sum(B96,B97,B100,B101)</f>
        <v>4604160000</v>
      </c>
      <c r="C103" s="20">
        <f t="shared" si="24"/>
        <v>46041600000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 t="s">
        <v>88</v>
      </c>
      <c r="B105" s="2" t="s">
        <v>75</v>
      </c>
      <c r="C105" s="2" t="s">
        <v>76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77</v>
      </c>
      <c r="B106" s="27">
        <f t="shared" ref="B106:B112" si="25">0.01*C106</f>
        <v>10418.61804</v>
      </c>
      <c r="C106" s="27">
        <f>B19*1.2</f>
        <v>1041861.804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89</v>
      </c>
      <c r="B107" s="27">
        <f t="shared" si="25"/>
        <v>26046.5451</v>
      </c>
      <c r="C107" s="27">
        <f>B19*3</f>
        <v>2604654.51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90</v>
      </c>
      <c r="B108" s="26">
        <f t="shared" si="25"/>
        <v>104186.1804</v>
      </c>
      <c r="C108" s="26">
        <f>B19*0.1*120</f>
        <v>10418618.04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 t="s">
        <v>91</v>
      </c>
      <c r="B109" s="26">
        <f t="shared" si="25"/>
        <v>62407.52206</v>
      </c>
      <c r="C109" s="26">
        <f>B20*0.1*5.99*12</f>
        <v>6240752.206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81</v>
      </c>
      <c r="B110" s="27">
        <f t="shared" si="25"/>
        <v>4496.14536</v>
      </c>
      <c r="C110" s="27">
        <f>D19*1.2</f>
        <v>449614.536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92</v>
      </c>
      <c r="B111" s="27">
        <f t="shared" si="25"/>
        <v>11240.3634</v>
      </c>
      <c r="C111" s="27">
        <f>D19*3</f>
        <v>1124036.34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93</v>
      </c>
      <c r="B112" s="27">
        <f t="shared" si="25"/>
        <v>26931.91071</v>
      </c>
      <c r="C112" s="27">
        <f>D19*0.1*5.99*12</f>
        <v>2693191.071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 t="s">
        <v>84</v>
      </c>
      <c r="B113" s="28" t="s">
        <v>39</v>
      </c>
      <c r="C113" s="28" t="s">
        <v>39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94</v>
      </c>
      <c r="B114" s="27">
        <f t="shared" ref="B114:B115" si="26">0.01*C114</f>
        <v>72826.1401</v>
      </c>
      <c r="C114" s="27">
        <f>C106+C109</f>
        <v>7282614.01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95</v>
      </c>
      <c r="B115" s="27">
        <f t="shared" si="26"/>
        <v>104254.1962</v>
      </c>
      <c r="C115" s="27">
        <f>C106+C112+C110+C109</f>
        <v>10425419.62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 t="s">
        <v>96</v>
      </c>
      <c r="B117" s="2" t="s">
        <v>75</v>
      </c>
      <c r="C117" s="2" t="s">
        <v>76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77</v>
      </c>
      <c r="B118" s="27">
        <f t="shared" ref="B118:B120" si="27">0.01*C118</f>
        <v>2257.968</v>
      </c>
      <c r="C118" s="27">
        <f>1.2*B23</f>
        <v>225796.8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 t="s">
        <v>89</v>
      </c>
      <c r="B119" s="27">
        <f t="shared" si="27"/>
        <v>5644.92</v>
      </c>
      <c r="C119" s="27">
        <f>3*B23</f>
        <v>564492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90</v>
      </c>
      <c r="B120" s="27">
        <f t="shared" si="27"/>
        <v>22579.68</v>
      </c>
      <c r="C120" s="27">
        <f>0.1*B23*120</f>
        <v>2257968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 t="s">
        <v>91</v>
      </c>
      <c r="B121" s="26">
        <f>C121*0.01</f>
        <v>13525.22832</v>
      </c>
      <c r="C121" s="26">
        <f>0.1*B23*5.99*12</f>
        <v>1352522.832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 t="s">
        <v>81</v>
      </c>
      <c r="B122" s="27">
        <f t="shared" ref="B122:B124" si="28">0.01*C122</f>
        <v>1227.4272</v>
      </c>
      <c r="C122" s="27">
        <f>D23*1.2</f>
        <v>122742.72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 t="s">
        <v>92</v>
      </c>
      <c r="B123" s="27">
        <f t="shared" si="28"/>
        <v>3068.568</v>
      </c>
      <c r="C123" s="27">
        <f>D23*3</f>
        <v>306856.8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 t="s">
        <v>93</v>
      </c>
      <c r="B124" s="27">
        <f t="shared" si="28"/>
        <v>7352.288928</v>
      </c>
      <c r="C124" s="27">
        <f>D23*0.1*5.99*12</f>
        <v>735228.8928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 t="s">
        <v>84</v>
      </c>
      <c r="B125" s="2" t="s">
        <v>39</v>
      </c>
      <c r="C125" s="28" t="s">
        <v>39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 t="s">
        <v>97</v>
      </c>
      <c r="B126" s="27">
        <f t="shared" ref="B126:B127" si="29">0.01*C126</f>
        <v>15783.19632</v>
      </c>
      <c r="C126" s="27">
        <f>C118+C121</f>
        <v>1578319.632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 t="s">
        <v>98</v>
      </c>
      <c r="B127" s="27">
        <f t="shared" si="29"/>
        <v>16482.60413</v>
      </c>
      <c r="C127" s="27">
        <f>C118+C119+C122+C124</f>
        <v>1648260.413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99</v>
      </c>
    </row>
    <row r="2">
      <c r="A2" s="12" t="s">
        <v>100</v>
      </c>
    </row>
    <row r="3">
      <c r="A3" s="12" t="s">
        <v>101</v>
      </c>
    </row>
    <row r="4">
      <c r="A4" s="12" t="s">
        <v>102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3" max="3" width="16.63"/>
    <col customWidth="1" min="6" max="6" width="77.63"/>
    <col customWidth="1" min="8" max="8" width="19.63"/>
  </cols>
  <sheetData>
    <row r="1">
      <c r="A1" s="29" t="s">
        <v>103</v>
      </c>
      <c r="F1" s="12" t="s">
        <v>104</v>
      </c>
    </row>
    <row r="2">
      <c r="A2" s="30" t="s">
        <v>105</v>
      </c>
      <c r="B2" s="31">
        <v>31013.0</v>
      </c>
      <c r="C2" s="32" t="s">
        <v>106</v>
      </c>
      <c r="D2" s="33">
        <f>sum(B2:B37)</f>
        <v>306200</v>
      </c>
      <c r="F2" s="29" t="s">
        <v>107</v>
      </c>
      <c r="G2" s="34">
        <v>859355.0</v>
      </c>
      <c r="H2" s="12" t="s">
        <v>108</v>
      </c>
    </row>
    <row r="3">
      <c r="A3" s="30" t="s">
        <v>109</v>
      </c>
      <c r="B3" s="31">
        <v>23418.0</v>
      </c>
      <c r="C3" s="12" t="s">
        <v>110</v>
      </c>
      <c r="D3" s="33">
        <f>sum(B6,B9,B18,B22,B23,B27,B31,B33,B34)</f>
        <v>60307</v>
      </c>
      <c r="F3" s="12" t="s">
        <v>111</v>
      </c>
      <c r="G3" s="35">
        <f>G2*0.09</f>
        <v>77341.95</v>
      </c>
    </row>
    <row r="4">
      <c r="A4" s="30" t="s">
        <v>112</v>
      </c>
      <c r="B4" s="31">
        <v>17202.0</v>
      </c>
      <c r="F4" s="12" t="s">
        <v>113</v>
      </c>
      <c r="G4" s="33">
        <f>SUM(G2:G3)</f>
        <v>936696.95</v>
      </c>
    </row>
    <row r="5">
      <c r="A5" s="30" t="s">
        <v>114</v>
      </c>
      <c r="B5" s="31">
        <v>16500.0</v>
      </c>
    </row>
    <row r="6">
      <c r="A6" s="30" t="s">
        <v>115</v>
      </c>
      <c r="B6" s="31">
        <v>15277.0</v>
      </c>
      <c r="F6" s="36" t="s">
        <v>116</v>
      </c>
      <c r="G6" s="33">
        <f>SUM(G7:G25) + SUM(G7:G25)*0.09</f>
        <v>255714</v>
      </c>
    </row>
    <row r="7">
      <c r="A7" s="30" t="s">
        <v>117</v>
      </c>
      <c r="B7" s="31">
        <v>14800.0</v>
      </c>
      <c r="F7" s="12" t="s">
        <v>118</v>
      </c>
      <c r="G7" s="34">
        <v>14000.0</v>
      </c>
    </row>
    <row r="8">
      <c r="A8" s="30" t="s">
        <v>119</v>
      </c>
      <c r="B8" s="31">
        <v>14627.0</v>
      </c>
      <c r="F8" s="12" t="s">
        <v>120</v>
      </c>
      <c r="G8" s="34">
        <v>29000.0</v>
      </c>
    </row>
    <row r="9">
      <c r="A9" s="30" t="s">
        <v>121</v>
      </c>
      <c r="B9" s="31">
        <v>12994.0</v>
      </c>
      <c r="F9" s="12" t="s">
        <v>122</v>
      </c>
      <c r="G9" s="34">
        <v>27000.0</v>
      </c>
    </row>
    <row r="10">
      <c r="A10" s="30" t="s">
        <v>123</v>
      </c>
      <c r="B10" s="31">
        <v>12788.0</v>
      </c>
      <c r="F10" s="12" t="s">
        <v>124</v>
      </c>
      <c r="G10" s="34">
        <v>22000.0</v>
      </c>
    </row>
    <row r="11">
      <c r="A11" s="30" t="s">
        <v>125</v>
      </c>
      <c r="B11" s="31">
        <v>11036.0</v>
      </c>
      <c r="F11" s="12" t="s">
        <v>126</v>
      </c>
      <c r="G11" s="34">
        <v>21000.0</v>
      </c>
    </row>
    <row r="12">
      <c r="A12" s="30" t="s">
        <v>127</v>
      </c>
      <c r="B12" s="31">
        <v>9883.0</v>
      </c>
      <c r="F12" s="12" t="s">
        <v>128</v>
      </c>
      <c r="G12" s="34">
        <v>19000.0</v>
      </c>
    </row>
    <row r="13">
      <c r="A13" s="30" t="s">
        <v>129</v>
      </c>
      <c r="B13" s="31">
        <v>9686.0</v>
      </c>
      <c r="F13" s="12" t="s">
        <v>130</v>
      </c>
      <c r="G13" s="34">
        <v>17000.0</v>
      </c>
    </row>
    <row r="14">
      <c r="A14" s="30" t="s">
        <v>131</v>
      </c>
      <c r="B14" s="31">
        <v>9664.0</v>
      </c>
      <c r="F14" s="12" t="s">
        <v>132</v>
      </c>
      <c r="G14" s="34">
        <v>14000.0</v>
      </c>
    </row>
    <row r="15">
      <c r="A15" s="30" t="s">
        <v>133</v>
      </c>
      <c r="B15" s="31">
        <v>7606.0</v>
      </c>
      <c r="F15" s="12" t="s">
        <v>134</v>
      </c>
      <c r="G15" s="34">
        <v>11000.0</v>
      </c>
    </row>
    <row r="16">
      <c r="A16" s="30" t="s">
        <v>135</v>
      </c>
      <c r="B16" s="31">
        <v>7288.0</v>
      </c>
      <c r="F16" s="12" t="s">
        <v>136</v>
      </c>
      <c r="G16" s="34">
        <v>12000.0</v>
      </c>
    </row>
    <row r="17">
      <c r="A17" s="30" t="s">
        <v>137</v>
      </c>
      <c r="B17" s="31">
        <v>7156.0</v>
      </c>
      <c r="F17" s="12" t="s">
        <v>138</v>
      </c>
      <c r="G17" s="34">
        <v>7000.0</v>
      </c>
    </row>
    <row r="18">
      <c r="A18" s="30" t="s">
        <v>139</v>
      </c>
      <c r="B18" s="31">
        <v>6634.0</v>
      </c>
      <c r="F18" s="12" t="s">
        <v>140</v>
      </c>
      <c r="G18" s="34">
        <v>5000.0</v>
      </c>
    </row>
    <row r="19">
      <c r="A19" s="30" t="s">
        <v>141</v>
      </c>
      <c r="B19" s="31">
        <v>6046.0</v>
      </c>
      <c r="F19" s="12" t="s">
        <v>142</v>
      </c>
      <c r="G19" s="34">
        <v>8000.0</v>
      </c>
    </row>
    <row r="20">
      <c r="A20" s="30" t="s">
        <v>143</v>
      </c>
      <c r="B20" s="31">
        <v>5902.0</v>
      </c>
      <c r="C20" s="37"/>
      <c r="F20" s="12" t="s">
        <v>144</v>
      </c>
      <c r="G20" s="34">
        <v>6000.0</v>
      </c>
    </row>
    <row r="21">
      <c r="A21" s="30" t="s">
        <v>145</v>
      </c>
      <c r="B21" s="31">
        <v>5641.0</v>
      </c>
      <c r="F21" s="12" t="s">
        <v>146</v>
      </c>
      <c r="G21" s="34">
        <v>6000.0</v>
      </c>
    </row>
    <row r="22">
      <c r="A22" s="30" t="s">
        <v>147</v>
      </c>
      <c r="B22" s="31">
        <v>5409.0</v>
      </c>
      <c r="F22" s="12" t="s">
        <v>148</v>
      </c>
      <c r="G22" s="34">
        <v>7400.0</v>
      </c>
    </row>
    <row r="23">
      <c r="A23" s="30" t="s">
        <v>149</v>
      </c>
      <c r="B23" s="31">
        <v>5332.0</v>
      </c>
      <c r="F23" s="12" t="s">
        <v>150</v>
      </c>
      <c r="G23" s="12">
        <v>2500.0</v>
      </c>
    </row>
    <row r="24">
      <c r="A24" s="30" t="s">
        <v>151</v>
      </c>
      <c r="B24" s="31">
        <v>4997.0</v>
      </c>
      <c r="F24" s="12" t="s">
        <v>152</v>
      </c>
      <c r="G24" s="12">
        <v>4100.0</v>
      </c>
    </row>
    <row r="25">
      <c r="A25" s="30" t="s">
        <v>153</v>
      </c>
      <c r="B25" s="31">
        <v>4090.0</v>
      </c>
      <c r="F25" s="12" t="s">
        <v>154</v>
      </c>
      <c r="G25" s="12">
        <v>2600.0</v>
      </c>
    </row>
    <row r="26">
      <c r="A26" s="30" t="s">
        <v>155</v>
      </c>
      <c r="B26" s="31">
        <v>3865.0</v>
      </c>
    </row>
    <row r="27">
      <c r="A27" s="30" t="s">
        <v>156</v>
      </c>
      <c r="B27" s="31">
        <v>3840.0</v>
      </c>
    </row>
    <row r="28">
      <c r="A28" s="30" t="s">
        <v>157</v>
      </c>
      <c r="B28" s="31">
        <v>3817.0</v>
      </c>
    </row>
    <row r="29">
      <c r="A29" s="30" t="s">
        <v>158</v>
      </c>
      <c r="B29" s="31">
        <v>3769.0</v>
      </c>
    </row>
    <row r="30">
      <c r="A30" s="30" t="s">
        <v>159</v>
      </c>
      <c r="B30" s="31">
        <v>3754.0</v>
      </c>
    </row>
    <row r="31">
      <c r="A31" s="30" t="s">
        <v>160</v>
      </c>
      <c r="B31" s="31">
        <v>3742.0</v>
      </c>
    </row>
    <row r="32">
      <c r="A32" s="30" t="s">
        <v>161</v>
      </c>
      <c r="B32" s="31">
        <v>3636.0</v>
      </c>
    </row>
    <row r="33">
      <c r="A33" s="30" t="s">
        <v>162</v>
      </c>
      <c r="B33" s="31">
        <v>3583.0</v>
      </c>
    </row>
    <row r="34">
      <c r="A34" s="30" t="s">
        <v>163</v>
      </c>
      <c r="B34" s="31">
        <v>3496.0</v>
      </c>
    </row>
    <row r="35">
      <c r="A35" s="30" t="s">
        <v>164</v>
      </c>
      <c r="B35" s="31">
        <v>2682.0</v>
      </c>
    </row>
    <row r="36">
      <c r="A36" s="30" t="s">
        <v>165</v>
      </c>
      <c r="B36" s="31">
        <v>2638.0</v>
      </c>
    </row>
    <row r="37">
      <c r="A37" s="30" t="s">
        <v>166</v>
      </c>
      <c r="B37" s="31">
        <v>2389.0</v>
      </c>
    </row>
  </sheetData>
  <hyperlinks>
    <hyperlink r:id="rId4" ref="A1"/>
    <hyperlink r:id="rId5" ref="A2"/>
    <hyperlink r:id="rId6" ref="F2"/>
    <hyperlink r:id="rId7" ref="A3"/>
    <hyperlink r:id="rId8" ref="A4"/>
    <hyperlink r:id="rId9" ref="A5"/>
    <hyperlink r:id="rId10" ref="A6"/>
    <hyperlink r:id="rId11" ref="A7"/>
    <hyperlink r:id="rId12" ref="A8"/>
    <hyperlink r:id="rId13" ref="A9"/>
    <hyperlink r:id="rId14" ref="A10"/>
    <hyperlink r:id="rId15" ref="A11"/>
    <hyperlink r:id="rId16" ref="A12"/>
    <hyperlink r:id="rId17" ref="A13"/>
    <hyperlink r:id="rId18" ref="A14"/>
    <hyperlink r:id="rId19" ref="A15"/>
    <hyperlink r:id="rId20" ref="A16"/>
    <hyperlink r:id="rId21" ref="A17"/>
    <hyperlink r:id="rId22" ref="A18"/>
    <hyperlink r:id="rId23" ref="A19"/>
    <hyperlink r:id="rId24" ref="A20"/>
    <hyperlink r:id="rId25" ref="A21"/>
    <hyperlink r:id="rId26" ref="A22"/>
    <hyperlink r:id="rId27" ref="A23"/>
    <hyperlink r:id="rId28" ref="A24"/>
    <hyperlink r:id="rId29" ref="A25"/>
    <hyperlink r:id="rId30" ref="A26"/>
    <hyperlink r:id="rId31" ref="A27"/>
    <hyperlink r:id="rId32" ref="A28"/>
    <hyperlink r:id="rId33" ref="A29"/>
    <hyperlink r:id="rId34" ref="A30"/>
    <hyperlink r:id="rId35" ref="A31"/>
    <hyperlink r:id="rId36" ref="A32"/>
    <hyperlink r:id="rId37" ref="A33"/>
    <hyperlink r:id="rId38" ref="A34"/>
    <hyperlink r:id="rId39" ref="A35"/>
    <hyperlink r:id="rId40" ref="A36"/>
    <hyperlink r:id="rId41" ref="A37"/>
  </hyperlinks>
  <drawing r:id="rId42"/>
  <legacyDrawing r:id="rId4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21.88"/>
    <col customWidth="1" min="3" max="3" width="28.38"/>
    <col customWidth="1" min="4" max="4" width="14.75"/>
    <col customWidth="1" min="5" max="5" width="16.88"/>
    <col customWidth="1" min="6" max="6" width="16.63"/>
    <col customWidth="1" min="7" max="7" width="17.13"/>
    <col customWidth="1" min="8" max="8" width="16.88"/>
    <col customWidth="1" min="9" max="9" width="18.5"/>
  </cols>
  <sheetData>
    <row r="1">
      <c r="A1" s="2" t="s">
        <v>167</v>
      </c>
      <c r="B1" s="2" t="s">
        <v>168</v>
      </c>
      <c r="C1" s="2" t="s">
        <v>169</v>
      </c>
      <c r="D1" s="2" t="s">
        <v>170</v>
      </c>
      <c r="E1" s="2" t="s">
        <v>171</v>
      </c>
      <c r="F1" s="2" t="s">
        <v>172</v>
      </c>
      <c r="G1" s="2" t="s">
        <v>173</v>
      </c>
      <c r="H1" s="2" t="s">
        <v>174</v>
      </c>
      <c r="I1" s="2" t="s">
        <v>175</v>
      </c>
    </row>
    <row r="2">
      <c r="A2" s="2" t="s">
        <v>176</v>
      </c>
      <c r="B2" s="2" t="s">
        <v>177</v>
      </c>
      <c r="C2" s="2" t="s">
        <v>178</v>
      </c>
      <c r="D2" s="38">
        <f>0.1*12*5000</f>
        <v>6000</v>
      </c>
      <c r="E2" s="39">
        <f>0.1*12*10000</f>
        <v>12000</v>
      </c>
      <c r="F2" s="38">
        <f>0.05*12*100000</f>
        <v>60000</v>
      </c>
      <c r="G2" s="39">
        <f>0.025*12*1000000</f>
        <v>300000</v>
      </c>
      <c r="H2" s="39">
        <f>0.01*12*25000000</f>
        <v>3000000</v>
      </c>
      <c r="I2" s="2" t="s">
        <v>179</v>
      </c>
    </row>
    <row r="3">
      <c r="A3" s="2" t="s">
        <v>180</v>
      </c>
      <c r="B3" s="2" t="s">
        <v>177</v>
      </c>
      <c r="C3" s="2" t="s">
        <v>181</v>
      </c>
      <c r="D3" s="2" t="s">
        <v>182</v>
      </c>
      <c r="E3" s="2" t="s">
        <v>182</v>
      </c>
      <c r="F3" s="2" t="s">
        <v>183</v>
      </c>
      <c r="G3" s="2" t="s">
        <v>184</v>
      </c>
      <c r="H3" s="2" t="s">
        <v>185</v>
      </c>
      <c r="I3" s="2" t="s">
        <v>186</v>
      </c>
    </row>
    <row r="4">
      <c r="A4" s="2" t="s">
        <v>187</v>
      </c>
      <c r="B4" s="2" t="s">
        <v>188</v>
      </c>
      <c r="C4" s="2" t="s">
        <v>189</v>
      </c>
      <c r="D4" s="2" t="s">
        <v>190</v>
      </c>
      <c r="E4" s="2" t="s">
        <v>191</v>
      </c>
      <c r="F4" s="2" t="s">
        <v>192</v>
      </c>
      <c r="G4" s="2" t="s">
        <v>193</v>
      </c>
      <c r="H4" s="2" t="s">
        <v>194</v>
      </c>
      <c r="I4" s="2" t="s">
        <v>195</v>
      </c>
    </row>
    <row r="5">
      <c r="A5" s="3"/>
      <c r="B5" s="3"/>
      <c r="C5" s="3"/>
      <c r="D5" s="3"/>
      <c r="E5" s="3"/>
      <c r="F5" s="40" t="s">
        <v>196</v>
      </c>
      <c r="G5" s="3"/>
      <c r="H5" s="3"/>
      <c r="I5" s="3"/>
    </row>
    <row r="6">
      <c r="A6" s="3"/>
      <c r="B6" s="3"/>
      <c r="C6" s="3"/>
      <c r="D6" s="3"/>
      <c r="E6" s="3"/>
      <c r="F6" s="2" t="s">
        <v>197</v>
      </c>
      <c r="G6" s="3"/>
      <c r="H6" s="3"/>
      <c r="I6" s="3"/>
    </row>
    <row r="9">
      <c r="A9" s="12" t="s">
        <v>198</v>
      </c>
      <c r="B9" s="12" t="s">
        <v>199</v>
      </c>
      <c r="C9" s="12" t="s">
        <v>200</v>
      </c>
      <c r="D9" s="12" t="s">
        <v>182</v>
      </c>
      <c r="E9" s="12" t="s">
        <v>182</v>
      </c>
      <c r="F9" s="12" t="s">
        <v>183</v>
      </c>
      <c r="G9" s="12" t="s">
        <v>184</v>
      </c>
      <c r="H9" s="12" t="s">
        <v>185</v>
      </c>
      <c r="I9" s="12" t="s">
        <v>186</v>
      </c>
    </row>
    <row r="16">
      <c r="B16" s="36"/>
      <c r="C16" s="36" t="s">
        <v>201</v>
      </c>
      <c r="E16" s="12" t="s">
        <v>202</v>
      </c>
    </row>
    <row r="17">
      <c r="B17" s="12"/>
      <c r="C17" s="12" t="s">
        <v>203</v>
      </c>
      <c r="E17" s="12" t="s">
        <v>204</v>
      </c>
    </row>
    <row r="18">
      <c r="B18" s="12"/>
      <c r="C18" s="12" t="s">
        <v>205</v>
      </c>
      <c r="E18" s="12" t="s">
        <v>206</v>
      </c>
    </row>
    <row r="19">
      <c r="B19" s="12"/>
      <c r="C19" s="12" t="s">
        <v>207</v>
      </c>
      <c r="E19" s="12" t="s">
        <v>208</v>
      </c>
    </row>
    <row r="22">
      <c r="B22" s="12"/>
      <c r="C22" s="12" t="s">
        <v>209</v>
      </c>
    </row>
    <row r="23">
      <c r="B23" s="12"/>
      <c r="C23" s="12" t="s">
        <v>210</v>
      </c>
    </row>
    <row r="24">
      <c r="B24" s="12"/>
      <c r="C24" s="12">
        <f>1000000</f>
        <v>1000000</v>
      </c>
    </row>
  </sheetData>
  <hyperlinks>
    <hyperlink r:id="rId4" ref="F5"/>
  </hyperlinks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25.75"/>
    <col customWidth="1" min="3" max="3" width="14.13"/>
    <col customWidth="1" min="5" max="5" width="24.88"/>
    <col customWidth="1" min="6" max="6" width="23.25"/>
  </cols>
  <sheetData>
    <row r="1">
      <c r="A1" s="41" t="s">
        <v>211</v>
      </c>
      <c r="B1" s="41" t="s">
        <v>212</v>
      </c>
      <c r="C1" s="41" t="s">
        <v>213</v>
      </c>
      <c r="D1" s="41" t="s">
        <v>214</v>
      </c>
      <c r="E1" s="41" t="s">
        <v>215</v>
      </c>
      <c r="F1" s="41" t="s">
        <v>216</v>
      </c>
      <c r="G1" s="41" t="s">
        <v>217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3" t="s">
        <v>218</v>
      </c>
      <c r="B3" s="44" t="s">
        <v>219</v>
      </c>
      <c r="C3" s="43" t="s">
        <v>220</v>
      </c>
      <c r="D3" s="45" t="s">
        <v>221</v>
      </c>
      <c r="E3" s="43" t="s">
        <v>222</v>
      </c>
      <c r="F3" s="43" t="s">
        <v>223</v>
      </c>
      <c r="G3" s="46" t="s">
        <v>224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3" t="s">
        <v>225</v>
      </c>
      <c r="B4" s="43" t="s">
        <v>226</v>
      </c>
      <c r="C4" s="43" t="s">
        <v>227</v>
      </c>
      <c r="D4" s="43" t="s">
        <v>228</v>
      </c>
      <c r="E4" s="43" t="s">
        <v>229</v>
      </c>
      <c r="F4" s="42"/>
      <c r="G4" s="43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3" t="s">
        <v>230</v>
      </c>
      <c r="B5" s="43" t="s">
        <v>231</v>
      </c>
      <c r="C5" s="42"/>
      <c r="D5" s="42"/>
      <c r="E5" s="47"/>
      <c r="F5" s="47"/>
      <c r="G5" s="47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3" t="s">
        <v>232</v>
      </c>
      <c r="B6" s="43" t="s">
        <v>233</v>
      </c>
      <c r="C6" s="42"/>
      <c r="D6" s="42"/>
      <c r="E6" s="47"/>
      <c r="F6" s="47"/>
      <c r="G6" s="47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3" t="s">
        <v>234</v>
      </c>
      <c r="B7" s="43" t="s">
        <v>235</v>
      </c>
      <c r="C7" s="43" t="s">
        <v>227</v>
      </c>
      <c r="D7" s="43" t="s">
        <v>227</v>
      </c>
      <c r="E7" s="47"/>
      <c r="F7" s="47"/>
      <c r="G7" s="47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8" t="s">
        <v>236</v>
      </c>
      <c r="B8" s="43" t="s">
        <v>237</v>
      </c>
      <c r="C8" s="43" t="s">
        <v>238</v>
      </c>
      <c r="D8" s="44" t="s">
        <v>239</v>
      </c>
      <c r="E8" s="44" t="s">
        <v>229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3" t="s">
        <v>240</v>
      </c>
      <c r="B9" s="43" t="s">
        <v>241</v>
      </c>
      <c r="C9" s="43" t="s">
        <v>242</v>
      </c>
      <c r="D9" s="43" t="s">
        <v>227</v>
      </c>
      <c r="E9" s="47"/>
      <c r="F9" s="47"/>
      <c r="G9" s="47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3" t="s">
        <v>243</v>
      </c>
      <c r="B10" s="43" t="s">
        <v>244</v>
      </c>
      <c r="C10" s="43" t="s">
        <v>245</v>
      </c>
      <c r="D10" s="43" t="s">
        <v>228</v>
      </c>
      <c r="E10" s="47"/>
      <c r="F10" s="47"/>
      <c r="G10" s="47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8" t="s">
        <v>246</v>
      </c>
      <c r="B11" s="43" t="s">
        <v>247</v>
      </c>
      <c r="C11" s="43" t="s">
        <v>227</v>
      </c>
      <c r="D11" s="43" t="s">
        <v>228</v>
      </c>
      <c r="E11" s="47"/>
      <c r="F11" s="47"/>
      <c r="G11" s="47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8" t="s">
        <v>248</v>
      </c>
      <c r="B12" s="43" t="s">
        <v>247</v>
      </c>
      <c r="C12" s="43" t="s">
        <v>227</v>
      </c>
      <c r="D12" s="43" t="s">
        <v>228</v>
      </c>
      <c r="E12" s="47"/>
      <c r="F12" s="47"/>
      <c r="G12" s="47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8" t="s">
        <v>249</v>
      </c>
      <c r="B13" s="43" t="s">
        <v>250</v>
      </c>
      <c r="C13" s="43" t="s">
        <v>251</v>
      </c>
      <c r="D13" s="43" t="s">
        <v>252</v>
      </c>
      <c r="E13" s="47"/>
      <c r="F13" s="47"/>
      <c r="G13" s="47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8" t="s">
        <v>253</v>
      </c>
      <c r="B14" s="43" t="s">
        <v>254</v>
      </c>
      <c r="C14" s="43" t="s">
        <v>250</v>
      </c>
      <c r="D14" s="43" t="s">
        <v>251</v>
      </c>
      <c r="E14" s="47"/>
      <c r="F14" s="47"/>
      <c r="G14" s="47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8" t="s">
        <v>255</v>
      </c>
      <c r="B15" s="43" t="s">
        <v>256</v>
      </c>
      <c r="C15" s="43" t="s">
        <v>257</v>
      </c>
      <c r="D15" s="43" t="s">
        <v>228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3" t="s">
        <v>258</v>
      </c>
      <c r="B16" s="43" t="s">
        <v>259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8" t="s">
        <v>260</v>
      </c>
      <c r="B17" s="43" t="s">
        <v>259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8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8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9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42"/>
      <c r="C23" s="42"/>
      <c r="D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2"/>
      <c r="B24" s="42"/>
      <c r="C24" s="42"/>
      <c r="D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42"/>
      <c r="C25" s="42"/>
      <c r="D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30.88"/>
    <col customWidth="1" min="3" max="3" width="36.63"/>
    <col customWidth="1" min="4" max="4" width="81.13"/>
  </cols>
  <sheetData>
    <row r="1">
      <c r="A1" s="50" t="s">
        <v>261</v>
      </c>
      <c r="B1" s="50" t="s">
        <v>262</v>
      </c>
      <c r="C1" s="50" t="s">
        <v>263</v>
      </c>
      <c r="D1" s="50" t="s">
        <v>264</v>
      </c>
      <c r="E1" s="51"/>
      <c r="F1" s="51"/>
    </row>
    <row r="2">
      <c r="A2" s="52" t="s">
        <v>265</v>
      </c>
      <c r="B2" s="52" t="s">
        <v>266</v>
      </c>
      <c r="C2" s="52" t="s">
        <v>267</v>
      </c>
      <c r="D2" s="52" t="s">
        <v>268</v>
      </c>
      <c r="E2" s="51"/>
      <c r="F2" s="51"/>
    </row>
    <row r="3">
      <c r="A3" s="52" t="s">
        <v>269</v>
      </c>
      <c r="B3" s="53" t="s">
        <v>270</v>
      </c>
      <c r="C3" s="52" t="s">
        <v>271</v>
      </c>
      <c r="D3" s="52" t="s">
        <v>272</v>
      </c>
      <c r="E3" s="51"/>
      <c r="F3" s="51"/>
    </row>
    <row r="4">
      <c r="A4" s="52" t="s">
        <v>273</v>
      </c>
      <c r="B4" s="52" t="s">
        <v>274</v>
      </c>
      <c r="C4" s="52" t="s">
        <v>275</v>
      </c>
      <c r="D4" s="52" t="s">
        <v>276</v>
      </c>
      <c r="E4" s="51"/>
      <c r="F4" s="51"/>
    </row>
    <row r="5">
      <c r="A5" s="52" t="s">
        <v>277</v>
      </c>
      <c r="B5" s="52" t="s">
        <v>278</v>
      </c>
      <c r="C5" s="52" t="s">
        <v>279</v>
      </c>
      <c r="D5" s="52" t="s">
        <v>280</v>
      </c>
      <c r="E5" s="51"/>
      <c r="F5" s="51"/>
    </row>
    <row r="6">
      <c r="A6" s="52" t="s">
        <v>281</v>
      </c>
      <c r="B6" s="52" t="s">
        <v>282</v>
      </c>
      <c r="C6" s="52" t="s">
        <v>267</v>
      </c>
      <c r="D6" s="52" t="s">
        <v>283</v>
      </c>
      <c r="E6" s="51"/>
      <c r="F6" s="51"/>
    </row>
    <row r="7">
      <c r="A7" s="52" t="s">
        <v>284</v>
      </c>
      <c r="B7" s="52" t="s">
        <v>285</v>
      </c>
      <c r="C7" s="52" t="s">
        <v>286</v>
      </c>
      <c r="D7" s="52" t="s">
        <v>287</v>
      </c>
      <c r="E7" s="51"/>
      <c r="F7" s="51"/>
    </row>
    <row r="8">
      <c r="A8" s="52" t="s">
        <v>288</v>
      </c>
      <c r="B8" s="52" t="s">
        <v>289</v>
      </c>
      <c r="C8" s="52" t="s">
        <v>290</v>
      </c>
      <c r="D8" s="52" t="s">
        <v>291</v>
      </c>
      <c r="E8" s="51"/>
      <c r="F8" s="51"/>
    </row>
    <row r="9">
      <c r="A9" s="52" t="s">
        <v>292</v>
      </c>
      <c r="B9" s="52" t="s">
        <v>293</v>
      </c>
      <c r="C9" s="52" t="s">
        <v>294</v>
      </c>
      <c r="D9" s="52" t="s">
        <v>295</v>
      </c>
      <c r="E9" s="51"/>
      <c r="F9" s="51"/>
    </row>
    <row r="10">
      <c r="A10" s="52" t="s">
        <v>296</v>
      </c>
      <c r="B10" s="52" t="s">
        <v>297</v>
      </c>
      <c r="C10" s="52" t="s">
        <v>298</v>
      </c>
      <c r="D10" s="52" t="s">
        <v>299</v>
      </c>
      <c r="E10" s="51"/>
      <c r="F10" s="51"/>
    </row>
    <row r="11">
      <c r="A11" s="52" t="s">
        <v>300</v>
      </c>
      <c r="B11" s="52" t="s">
        <v>301</v>
      </c>
      <c r="C11" s="52" t="s">
        <v>302</v>
      </c>
      <c r="D11" s="52" t="s">
        <v>303</v>
      </c>
      <c r="E11" s="51"/>
      <c r="F11" s="51"/>
    </row>
    <row r="12">
      <c r="A12" s="52" t="s">
        <v>304</v>
      </c>
      <c r="B12" s="52" t="s">
        <v>305</v>
      </c>
      <c r="C12" s="53" t="s">
        <v>306</v>
      </c>
      <c r="D12" s="52" t="s">
        <v>307</v>
      </c>
      <c r="E12" s="51"/>
      <c r="F12" s="51"/>
    </row>
  </sheetData>
  <drawing r:id="rId1"/>
</worksheet>
</file>